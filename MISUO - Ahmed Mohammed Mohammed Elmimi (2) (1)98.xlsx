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f601c4bb30b7b067/Documents/"/>
    </mc:Choice>
  </mc:AlternateContent>
  <xr:revisionPtr revIDLastSave="0" documentId="8_{008C9602-873A-425A-B199-322462651F1E}" xr6:coauthVersionLast="47" xr6:coauthVersionMax="47" xr10:uidLastSave="{00000000-0000-0000-0000-000000000000}"/>
  <bookViews>
    <workbookView xWindow="-110" yWindow="-110" windowWidth="19420" windowHeight="10300" activeTab="3" xr2:uid="{00000000-000D-0000-FFFF-FFFF00000000}"/>
  </bookViews>
  <sheets>
    <sheet name="الارشادات" sheetId="15" r:id="rId1"/>
    <sheet name="pivot tables" sheetId="16" r:id="rId2"/>
    <sheet name="sales dashboard" sheetId="17" r:id="rId3"/>
    <sheet name="Table1__2" sheetId="18" r:id="rId4"/>
  </sheets>
  <definedNames>
    <definedName name="ExternalData_2" localSheetId="3" hidden="1">Table1__2!$A$1:$V$127</definedName>
    <definedName name="Slicer_الصنف1">#N/A</definedName>
    <definedName name="Slicer_المحافظه1">#N/A</definedName>
    <definedName name="Slicer_حالة_التسليم1">#N/A</definedName>
  </definedNames>
  <calcPr calcId="191028"/>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 i="18" l="1"/>
  <c r="T7" i="18"/>
  <c r="T8" i="18"/>
  <c r="T9" i="18"/>
  <c r="T10" i="18"/>
  <c r="T12" i="18"/>
  <c r="T13" i="18"/>
  <c r="T14" i="18"/>
  <c r="T16" i="18"/>
  <c r="T17" i="18"/>
  <c r="T18" i="18"/>
  <c r="T20" i="18"/>
  <c r="T21" i="18"/>
  <c r="T22" i="18"/>
  <c r="T23" i="18"/>
  <c r="T24" i="18"/>
  <c r="T26" i="18"/>
  <c r="T27" i="18"/>
  <c r="T28" i="18"/>
  <c r="T29" i="18"/>
  <c r="T30" i="18"/>
  <c r="T31" i="18"/>
  <c r="T129" i="18" s="1"/>
  <c r="T32" i="18"/>
  <c r="T34" i="18"/>
  <c r="T35" i="18"/>
  <c r="T38" i="18"/>
  <c r="T39" i="18"/>
  <c r="T40" i="18"/>
  <c r="T42" i="18"/>
  <c r="T43" i="18"/>
  <c r="T44" i="18"/>
  <c r="T45" i="18"/>
  <c r="T46" i="18"/>
  <c r="T47" i="18"/>
  <c r="T49" i="18"/>
  <c r="T50" i="18"/>
  <c r="T51" i="18"/>
  <c r="T52" i="18"/>
  <c r="T53" i="18"/>
  <c r="T54" i="18"/>
  <c r="T55" i="18"/>
  <c r="T58" i="18"/>
  <c r="T59" i="18"/>
  <c r="T60" i="18"/>
  <c r="T61" i="18"/>
  <c r="T63" i="18"/>
  <c r="T64" i="18"/>
  <c r="T65" i="18"/>
  <c r="T66" i="18"/>
  <c r="T67" i="18"/>
  <c r="T68" i="18"/>
  <c r="T69" i="18"/>
  <c r="T70" i="18"/>
  <c r="T71" i="18"/>
  <c r="T72" i="18"/>
  <c r="T73" i="18"/>
  <c r="T75" i="18"/>
  <c r="T77" i="18"/>
  <c r="T78" i="18"/>
  <c r="T79" i="18"/>
  <c r="T80" i="18"/>
  <c r="T81" i="18"/>
  <c r="T82" i="18"/>
  <c r="T84" i="18"/>
  <c r="T85" i="18"/>
  <c r="T86" i="18"/>
  <c r="T87" i="18"/>
  <c r="T88" i="18"/>
  <c r="T89" i="18"/>
  <c r="T90" i="18"/>
  <c r="T91" i="18"/>
  <c r="T92" i="18"/>
  <c r="T94" i="18"/>
  <c r="T95" i="18"/>
  <c r="T97" i="18"/>
  <c r="T98" i="18"/>
  <c r="T99" i="18"/>
  <c r="T100" i="18"/>
  <c r="T101" i="18"/>
  <c r="T102" i="18"/>
  <c r="T103" i="18"/>
  <c r="T104" i="18"/>
  <c r="T105" i="18"/>
  <c r="T106" i="18"/>
  <c r="T107" i="18"/>
  <c r="T108" i="18"/>
  <c r="T109" i="18"/>
  <c r="T110" i="18"/>
  <c r="T112" i="18"/>
  <c r="T113" i="18"/>
  <c r="T114" i="18"/>
  <c r="T115" i="18"/>
  <c r="T116" i="18"/>
  <c r="T122" i="18"/>
  <c r="T123" i="18"/>
  <c r="T124" i="18"/>
  <c r="T125" i="18"/>
  <c r="T126" i="18"/>
  <c r="T127"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9BF547-89BE-47EF-86D3-0730D31E46F6}" keepAlive="1" name="Query - Table1__2_1" description="Connection to the 'Table1__2_1' query in the workbook." type="5" refreshedVersion="0" background="1" saveData="1">
    <dbPr connection="Provider=Microsoft.Mashup.OleDb.1;Data Source=$Workbook$;Location=Table1__2_1;Extended Properties=&quot;&quot;" command="SELECT * FROM [Table1__2_1]"/>
  </connection>
</connections>
</file>

<file path=xl/sharedStrings.xml><?xml version="1.0" encoding="utf-8"?>
<sst xmlns="http://schemas.openxmlformats.org/spreadsheetml/2006/main" count="1959" uniqueCount="366">
  <si>
    <t>أسم العميل</t>
  </si>
  <si>
    <t>العنوان</t>
  </si>
  <si>
    <t>المنتج</t>
  </si>
  <si>
    <t>تاريخ التسليم</t>
  </si>
  <si>
    <t>المسئول عن التسليم</t>
  </si>
  <si>
    <t xml:space="preserve">منصة البيع </t>
  </si>
  <si>
    <t>هومزمارت</t>
  </si>
  <si>
    <t xml:space="preserve">سعر البيع </t>
  </si>
  <si>
    <t>ميعاد التسليم</t>
  </si>
  <si>
    <t>ميعاد الطلب</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</si>
  <si>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</si>
  <si>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</si>
  <si>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</si>
  <si>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</si>
  <si>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</si>
  <si>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</si>
  <si>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</si>
  <si>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</si>
  <si>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</si>
  <si>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</si>
  <si>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</si>
  <si>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</si>
  <si>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سرير نوفال متر رمادى </t>
  </si>
  <si>
    <t xml:space="preserve">شيك هومز </t>
  </si>
  <si>
    <t xml:space="preserve">كنبه سرير رمادى </t>
  </si>
  <si>
    <t>التجمع الخامس</t>
  </si>
  <si>
    <t>yilmaz</t>
  </si>
  <si>
    <t xml:space="preserve">٦ اكتوبر الجيزه </t>
  </si>
  <si>
    <t xml:space="preserve">سرير فردى ابيض </t>
  </si>
  <si>
    <t>العباسيه</t>
  </si>
  <si>
    <t>تاكى</t>
  </si>
  <si>
    <t>٢ كنبه سحاره بمخدع</t>
  </si>
  <si>
    <t xml:space="preserve">العباسيه </t>
  </si>
  <si>
    <t xml:space="preserve">٢ كنبه سحاره بدون مخدع </t>
  </si>
  <si>
    <t>مصر الجديده</t>
  </si>
  <si>
    <t>سرير نوفال ابيض مقاس ٨٠</t>
  </si>
  <si>
    <t xml:space="preserve">سرير كينج ابيض </t>
  </si>
  <si>
    <t>شيك هومز</t>
  </si>
  <si>
    <t xml:space="preserve">سرير كينج اسود </t>
  </si>
  <si>
    <t xml:space="preserve">التجمع الخامس </t>
  </si>
  <si>
    <t xml:space="preserve">٢ سرير كيفنج ١٢٠ اسود </t>
  </si>
  <si>
    <t>ellho elkafy</t>
  </si>
  <si>
    <t xml:space="preserve">مدينه نصر </t>
  </si>
  <si>
    <t xml:space="preserve">سرير كينج ابيض مقاس ٨٠ التصميم الجديد </t>
  </si>
  <si>
    <t xml:space="preserve">المقطم </t>
  </si>
  <si>
    <t xml:space="preserve">ترابيزه قهوه علويه جديده </t>
  </si>
  <si>
    <t xml:space="preserve">٢ فوتيه فنيسيا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</si>
  <si>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</si>
  <si>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</si>
  <si>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</si>
  <si>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</si>
  <si>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</si>
  <si>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القطاميه </t>
  </si>
  <si>
    <t xml:space="preserve">الشروق القاهره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</si>
  <si>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</si>
  <si>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</si>
  <si>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</si>
  <si>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</si>
  <si>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</si>
  <si>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</si>
  <si>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</si>
  <si>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</si>
  <si>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</si>
  <si>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</si>
  <si>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</si>
  <si>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</si>
  <si>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سرير كيفنج دورين مقاس ٨٠ ابيض </t>
  </si>
  <si>
    <t xml:space="preserve">سرير ٣ ادوار ابيض مقاس ٨٠ ابيض </t>
  </si>
  <si>
    <t xml:space="preserve">لافيستا العين السخنه </t>
  </si>
  <si>
    <t>سرير استيل ازرق مقاس ١٤٠</t>
  </si>
  <si>
    <t>سرير اسبانى اسود مقاس ١٢٠</t>
  </si>
  <si>
    <t xml:space="preserve">سرير كينج ١٢٠ بنفسجى </t>
  </si>
  <si>
    <t>وائل صادق</t>
  </si>
  <si>
    <t xml:space="preserve">سرير كوين مقاس ١٤٠ دهبي ورمادى </t>
  </si>
  <si>
    <t xml:space="preserve">القاهره الجديده </t>
  </si>
  <si>
    <t xml:space="preserve">كنبه سرير ٤ حركه </t>
  </si>
  <si>
    <t>سرير منطبق اسود حديد وقماش</t>
  </si>
  <si>
    <t>صفاء</t>
  </si>
  <si>
    <t>المعادى</t>
  </si>
  <si>
    <t xml:space="preserve">سرير ٣ ادوار اسود مقاس ٩٠ </t>
  </si>
  <si>
    <t xml:space="preserve">اسيوط </t>
  </si>
  <si>
    <t xml:space="preserve">سرير كيفنج دورين مقاس ١٢٠ رمادى </t>
  </si>
  <si>
    <t xml:space="preserve">مسبق الدفع </t>
  </si>
  <si>
    <t>حسام عبدون</t>
  </si>
  <si>
    <t>الغردقه</t>
  </si>
  <si>
    <t>ميار خورشد</t>
  </si>
  <si>
    <t xml:space="preserve">سرير منطبق اسود حديد ومعدن </t>
  </si>
  <si>
    <t xml:space="preserve">الشيخ زايد ٦ اكتوبر </t>
  </si>
  <si>
    <t xml:space="preserve">سرير اسبانى  ١٤٠ اسود وبيج </t>
  </si>
  <si>
    <t xml:space="preserve">تربيزه قهوه مرتفعه برف سحاب </t>
  </si>
  <si>
    <t xml:space="preserve">سرير نوفال ١٠٠ رمادى </t>
  </si>
  <si>
    <t>الرحاب</t>
  </si>
  <si>
    <t xml:space="preserve"> ٢. سرير فورجينا ابيض مقاس ١٢٠</t>
  </si>
  <si>
    <t>ساره</t>
  </si>
  <si>
    <t xml:space="preserve">   ٢. سرير اسبانى ابيض ١٢٠</t>
  </si>
  <si>
    <t>رحاب</t>
  </si>
  <si>
    <t>العبور</t>
  </si>
  <si>
    <t xml:space="preserve">سرير نوفال مقاس ٨٠ ابيض </t>
  </si>
  <si>
    <t>فيصل الجيزه</t>
  </si>
  <si>
    <t>تربيزه قهوه ٢ رافع</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</si>
  <si>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</si>
  <si>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</si>
  <si>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</si>
  <si>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</si>
  <si>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</si>
  <si>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</si>
  <si>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</si>
  <si>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</si>
  <si>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</si>
  <si>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</si>
  <si>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كينج</t>
  </si>
  <si>
    <t>كيفنج</t>
  </si>
  <si>
    <t>اسبانى</t>
  </si>
  <si>
    <t>ركنة بسرير</t>
  </si>
  <si>
    <t>دورين</t>
  </si>
  <si>
    <t>ابيض</t>
  </si>
  <si>
    <t>اسود</t>
  </si>
  <si>
    <t>ارفيل</t>
  </si>
  <si>
    <t>ازرق</t>
  </si>
  <si>
    <t>رمادى</t>
  </si>
  <si>
    <t>بنفسجى</t>
  </si>
  <si>
    <t>الاسم</t>
  </si>
  <si>
    <t>دهبي</t>
  </si>
  <si>
    <t>فورجينا</t>
  </si>
  <si>
    <t>اللون المعدن</t>
  </si>
  <si>
    <t>mohannad</t>
  </si>
  <si>
    <t>EL-Maadi</t>
  </si>
  <si>
    <t>Mohamed Ayman</t>
  </si>
  <si>
    <t>Madinet Badr</t>
  </si>
  <si>
    <t>رف سحاب</t>
  </si>
  <si>
    <t>الحالة</t>
  </si>
  <si>
    <t>اسامه</t>
  </si>
  <si>
    <t>تم التسليم</t>
  </si>
  <si>
    <t xml:space="preserve">المخزن ابو الغيط </t>
  </si>
  <si>
    <t>اسود وبنى</t>
  </si>
  <si>
    <t>ولاء بدوى</t>
  </si>
  <si>
    <t>عبد الرحمن يسري</t>
  </si>
  <si>
    <t>اكتوبر الجيزه</t>
  </si>
  <si>
    <t>كنبه</t>
  </si>
  <si>
    <t xml:space="preserve">اسود </t>
  </si>
  <si>
    <t>مرتجع</t>
  </si>
  <si>
    <t>الحج محمد السويس</t>
  </si>
  <si>
    <t xml:space="preserve">السويس </t>
  </si>
  <si>
    <t>السويس</t>
  </si>
  <si>
    <t>فانتاستك</t>
  </si>
  <si>
    <t>ملون</t>
  </si>
  <si>
    <t>فنيسيا</t>
  </si>
  <si>
    <t>اسزد</t>
  </si>
  <si>
    <t>بيج</t>
  </si>
  <si>
    <t>شيزلونج</t>
  </si>
  <si>
    <t xml:space="preserve">نبيتى </t>
  </si>
  <si>
    <t>عمرو الأسود</t>
  </si>
  <si>
    <t>الزمالك</t>
  </si>
  <si>
    <t>مخزن شيك هومز</t>
  </si>
  <si>
    <t xml:space="preserve">أكتوبر </t>
  </si>
  <si>
    <t>التجمع</t>
  </si>
  <si>
    <t>keira</t>
  </si>
  <si>
    <t>١٤٠/١٠٠</t>
  </si>
  <si>
    <t>بينك</t>
  </si>
  <si>
    <t>tarek</t>
  </si>
  <si>
    <t>reem</t>
  </si>
  <si>
    <t>البطاش اسكندريه</t>
  </si>
  <si>
    <t>هشام سامى</t>
  </si>
  <si>
    <t>41 كومبوند جولدن جستس الدور 4 شقه 4</t>
  </si>
  <si>
    <t xml:space="preserve">منزلى </t>
  </si>
  <si>
    <t>بلحه</t>
  </si>
  <si>
    <t>الوان</t>
  </si>
  <si>
    <t>المعرض مدينه نصر</t>
  </si>
  <si>
    <t>فاطمه محمد</t>
  </si>
  <si>
    <t>أكتوبر الجيزه</t>
  </si>
  <si>
    <t>الشيخ زايد اكتوبر</t>
  </si>
  <si>
    <t>بولا هومزمارت</t>
  </si>
  <si>
    <t>ارينا</t>
  </si>
  <si>
    <t>بترولى</t>
  </si>
  <si>
    <t>منزلى</t>
  </si>
  <si>
    <t>مدينتى</t>
  </si>
  <si>
    <t>حماده</t>
  </si>
  <si>
    <t>صفاء عبد الباقي</t>
  </si>
  <si>
    <t>المخزن</t>
  </si>
  <si>
    <t xml:space="preserve">مرفوض </t>
  </si>
  <si>
    <t xml:space="preserve">كيمت </t>
  </si>
  <si>
    <t>٦ اكتوبر الجيزه</t>
  </si>
  <si>
    <t>محمد حمدى</t>
  </si>
  <si>
    <t>فيسبوك</t>
  </si>
  <si>
    <t xml:space="preserve">شبرا </t>
  </si>
  <si>
    <t>رنا ميلاد</t>
  </si>
  <si>
    <t xml:space="preserve">جليم الإسكندرية </t>
  </si>
  <si>
    <t>ترابيزه</t>
  </si>
  <si>
    <t>مكتبه</t>
  </si>
  <si>
    <t>محمد ناجى</t>
  </si>
  <si>
    <t>ميكانزم</t>
  </si>
  <si>
    <t>احمد عبد الستار</t>
  </si>
  <si>
    <t>المندره اسكندريه</t>
  </si>
  <si>
    <t>نور</t>
  </si>
  <si>
    <t>تامر</t>
  </si>
  <si>
    <t>هناء اسامه</t>
  </si>
  <si>
    <t>القطاميه</t>
  </si>
  <si>
    <t>مريم عنان</t>
  </si>
  <si>
    <t xml:space="preserve">اب تاون كايرو التجمع </t>
  </si>
  <si>
    <t>حمدى ذكرى</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</si>
  <si>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</si>
  <si>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</si>
  <si>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</si>
  <si>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</si>
  <si>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</si>
  <si>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</si>
  <si>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</si>
  <si>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</si>
  <si>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</si>
  <si>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</si>
  <si>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</si>
  <si>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</si>
  <si>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</si>
  <si>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 xml:space="preserve">الحج سيد </t>
  </si>
  <si>
    <t xml:space="preserve">شركه شحن </t>
  </si>
  <si>
    <t xml:space="preserve">م محمد </t>
  </si>
  <si>
    <t xml:space="preserve">محمود على </t>
  </si>
  <si>
    <t>نوع العميل</t>
  </si>
  <si>
    <t>خالد عبد القوى</t>
  </si>
  <si>
    <t>افراد</t>
  </si>
  <si>
    <t>زينا</t>
  </si>
  <si>
    <t>شركات</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</si>
  <si>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</si>
  <si>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</si>
  <si>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</si>
  <si>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</si>
  <si>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</si>
  <si>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</si>
  <si>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</si>
  <si>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</si>
  <si>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</si>
  <si>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</si>
  <si>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</si>
  <si>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</si>
  <si>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</si>
  <si>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</si>
  <si>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</si>
  <si>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</si>
  <si>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</si>
  <si>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</si>
  <si>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</si>
  <si>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</si>
  <si>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</si>
  <si>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</si>
  <si>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</si>
  <si>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</si>
  <si>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</si>
  <si>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</si>
  <si>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</si>
  <si>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</si>
  <si>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</si>
  <si>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</si>
  <si>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</si>
  <si>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 xml:space="preserve">اوسكار راتن </t>
  </si>
  <si>
    <t>القاهره</t>
  </si>
  <si>
    <t>كاش</t>
  </si>
  <si>
    <t>طريقة الدفع</t>
  </si>
  <si>
    <t>مدة التسليم (الهدف)</t>
  </si>
  <si>
    <t>مدة التسليم (الفعليه)</t>
  </si>
  <si>
    <t>الجيزة</t>
  </si>
  <si>
    <t>الإسكندرية</t>
  </si>
  <si>
    <t>مطروح</t>
  </si>
  <si>
    <t>البحر الأحمر</t>
  </si>
  <si>
    <t>القليوبية</t>
  </si>
  <si>
    <t>أسيوط</t>
  </si>
  <si>
    <t xml:space="preserve">تربيزه 2 ميكانزم    </t>
  </si>
  <si>
    <t xml:space="preserve">سرير فردى اسبانى 120 ابيض </t>
  </si>
  <si>
    <t xml:space="preserve">سرير دورين كينج 100 اسود </t>
  </si>
  <si>
    <t xml:space="preserve">سرير فردى فورجينا 120 ابيض </t>
  </si>
  <si>
    <t>سرير منطبق   اسود اسود</t>
  </si>
  <si>
    <t xml:space="preserve">تربيزه رف سحاب    </t>
  </si>
  <si>
    <t xml:space="preserve">سرير دورين كيفنج 100 اسود </t>
  </si>
  <si>
    <t xml:space="preserve">سرير دورين كيفنج 80 ابيض </t>
  </si>
  <si>
    <t>كنبة 4*1   اسود رمادى</t>
  </si>
  <si>
    <t xml:space="preserve">سرير دورين كينج 100 اسود وبنى </t>
  </si>
  <si>
    <t xml:space="preserve">كنبه 4×1    نبيتى </t>
  </si>
  <si>
    <t xml:space="preserve">سرير دورين كينج 100 اسود  </t>
  </si>
  <si>
    <t xml:space="preserve">سرير دورين فانتاستك 100 ملون </t>
  </si>
  <si>
    <t>سرير منطبق   اسزد بيج</t>
  </si>
  <si>
    <t>كنبه فنيسيا   اسود رصاصي مشجر</t>
  </si>
  <si>
    <t xml:space="preserve">شيزلونج    اسود نبيتى </t>
  </si>
  <si>
    <t xml:space="preserve">كنبه  4×1   اسود  بترولى </t>
  </si>
  <si>
    <t xml:space="preserve">كنبة 4×1   اسود  بترولى </t>
  </si>
  <si>
    <t xml:space="preserve">كنبه  4×1   اسود  نبيتى </t>
  </si>
  <si>
    <t xml:space="preserve">سرير دورين نوفال  ١٤٠/١٠٠ بينك </t>
  </si>
  <si>
    <t xml:space="preserve">سرير دورين نوفال ١٠٠/١٤٠ بينك </t>
  </si>
  <si>
    <t>سرير فردى بلحه 140 نبيتى  خشب بنى فاتح</t>
  </si>
  <si>
    <t xml:space="preserve">سرير دورين فانتستيك 100 الوان </t>
  </si>
  <si>
    <t xml:space="preserve">كنبه 4×1   اسود </t>
  </si>
  <si>
    <t xml:space="preserve">سرير دورين كينج 90 اسود </t>
  </si>
  <si>
    <t xml:space="preserve">سرير فردى اسبانى 100 ابيض </t>
  </si>
  <si>
    <t>كنبه 4×1 ارينا  اسود  بترولى</t>
  </si>
  <si>
    <t xml:space="preserve">سرير فردى فورجينا 160 بنفسجى </t>
  </si>
  <si>
    <t xml:space="preserve">سرير دورين كينج  80 ابيض </t>
  </si>
  <si>
    <t xml:space="preserve">سرير  دورين نوفال 120 رمادى </t>
  </si>
  <si>
    <t xml:space="preserve">سرير دورين  نوفال 90 اسود </t>
  </si>
  <si>
    <t xml:space="preserve">سرير  دورين  كيفنج  80 ابيض </t>
  </si>
  <si>
    <t xml:space="preserve">سرير فردى  امريكى 160 اسود </t>
  </si>
  <si>
    <t>سرير  فردى كوين  160 دهبي ابيض</t>
  </si>
  <si>
    <t xml:space="preserve">سرير فردى  اسبانى  120 رمادى </t>
  </si>
  <si>
    <t xml:space="preserve">كنبه t1 t1   </t>
  </si>
  <si>
    <t xml:space="preserve">ترابيزه  مكتبه   </t>
  </si>
  <si>
    <t>ترابيزه دوران  ميكانزم  ابيض ابيض في بنى غامق</t>
  </si>
  <si>
    <t>ترابيزه  دوران  ميكانزم  اسود  بنى غامق</t>
  </si>
  <si>
    <t xml:space="preserve">ترابيزه  رف سحاب   اسود بنى غامق </t>
  </si>
  <si>
    <t xml:space="preserve">ترابيزه ٢ ميكانزم   اسود  بيج </t>
  </si>
  <si>
    <t xml:space="preserve">سرير دورين  نوفال 80 ابيض </t>
  </si>
  <si>
    <t xml:space="preserve">سرير دورين  كيفنج  90 ازرق </t>
  </si>
  <si>
    <t>سرير  منطبق   اسود اسود</t>
  </si>
  <si>
    <t xml:space="preserve">سرير دورين كينج  اسود </t>
  </si>
  <si>
    <t>ترابيزه دوران ميكانزم  اسود  بنى غامق</t>
  </si>
  <si>
    <t xml:space="preserve">سرير  دورين نوفال 80 اسود </t>
  </si>
  <si>
    <t>كنبه 4×1 ارينا  اسود  روك ١٠</t>
  </si>
  <si>
    <t>ركنه</t>
  </si>
  <si>
    <t>فوتيه</t>
  </si>
  <si>
    <t>الصنف</t>
  </si>
  <si>
    <t>نوع الصنف</t>
  </si>
  <si>
    <t>اخري</t>
  </si>
  <si>
    <t>متحركه</t>
  </si>
  <si>
    <t>فردي</t>
  </si>
  <si>
    <t>ركنه بسرير</t>
  </si>
  <si>
    <t>سحاره</t>
  </si>
  <si>
    <t>ثلاثة ادوار</t>
  </si>
  <si>
    <t>٤ حركه</t>
  </si>
  <si>
    <t>غير معروف</t>
  </si>
  <si>
    <t>٩٠</t>
  </si>
  <si>
    <t>متر</t>
  </si>
  <si>
    <t>٨٠</t>
  </si>
  <si>
    <t>١٢٠</t>
  </si>
  <si>
    <t>١٠٠</t>
  </si>
  <si>
    <t>كوين</t>
  </si>
  <si>
    <t>١٤٠</t>
  </si>
  <si>
    <t>استيل</t>
  </si>
  <si>
    <t>بنى</t>
  </si>
  <si>
    <t>نبيتى</t>
  </si>
  <si>
    <t>رصاصي</t>
  </si>
  <si>
    <t>١٦٠</t>
  </si>
  <si>
    <t>امريكي</t>
  </si>
  <si>
    <t xml:space="preserve">        لون القماش</t>
  </si>
  <si>
    <t xml:space="preserve">  المقاس</t>
  </si>
  <si>
    <t>Row Labels</t>
  </si>
  <si>
    <t>Grand Total</t>
  </si>
  <si>
    <t xml:space="preserve">اجمالي المبيعات </t>
  </si>
  <si>
    <t>عدد الطلبات</t>
  </si>
  <si>
    <t>Count of الحالة</t>
  </si>
  <si>
    <t xml:space="preserve">متوسط سعر البيع </t>
  </si>
  <si>
    <t xml:space="preserve">Average of سعر البيع </t>
  </si>
  <si>
    <t>عدد المنتجات المباعه حسب المنصه</t>
  </si>
  <si>
    <t>Count of الصنف</t>
  </si>
  <si>
    <t xml:space="preserve">المنتج الأكثر مبيعا </t>
  </si>
  <si>
    <t xml:space="preserve"> اللون الأكثر مبيعا  </t>
  </si>
  <si>
    <t>(blank)</t>
  </si>
  <si>
    <t>Count of اللون المعدن</t>
  </si>
  <si>
    <t>نسبة الطلبات المسلمه في الموعد</t>
  </si>
  <si>
    <t>حالة التسليم</t>
  </si>
  <si>
    <t>تم التسليم في الموعد</t>
  </si>
  <si>
    <t>متأخر</t>
  </si>
  <si>
    <t>Count of حالة التسليم</t>
  </si>
  <si>
    <t>نسبة الطلبات الملغاه لم تتسلم</t>
  </si>
  <si>
    <t>المحافظه</t>
  </si>
  <si>
    <t>Count of المحافظه</t>
  </si>
  <si>
    <t xml:space="preserve">المحافظه الأكثر مبيعا </t>
  </si>
  <si>
    <t>Count of نوع العميل</t>
  </si>
  <si>
    <t xml:space="preserve">عدد الافراد و الشركات </t>
  </si>
  <si>
    <t>لم يسلم</t>
  </si>
  <si>
    <t xml:space="preserve">Sum of سعر البيع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</si>
</sst>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_);_(* \(#,##0.0\);_(* &quot;-&quot;??_);_(@_)"/>
    <numFmt numFmtId="165" formatCode="0.0%"/>
  </numFmts>
  <fonts count="14" x14ac:knownFonts="1">
    <font>
      <sz val="11"/>
      <color theme="1"/>
      <name val="Calibri"/>
      <family val="2"/>
      <scheme val="minor"/>
    </font>
    <font>
      <b/>
      <sz val="12"/>
      <color theme="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1"/>
      <color indexed="8"/>
      <name val="Calibri"/>
      <family val="2"/>
    </font>
    <font>
      <sz val="18"/>
      <color theme="1"/>
      <name val="Calibri"/>
      <family val="2"/>
      <scheme val="minor"/>
    </font>
    <font>
      <sz val="11"/>
      <color theme="1"/>
      <name val="Calibri"/>
      <family val="2"/>
      <scheme val="minor"/>
    </font>
    <font>
      <sz val="11"/>
      <color rgb="FF111827"/>
      <name val="Segoe UI"/>
      <family val="2"/>
    </font>
  </fonts>
  <fills count="7">
    <fill>
      <patternFill patternType="none"/>
    </fill>
    <fill>
      <patternFill patternType="gray125"/>
    </fill>
    <fill>
      <patternFill patternType="solid">
        <fgColor theme="2" tint="-0.249977111117893"/>
        <bgColor indexed="64"/>
      </patternFill>
    </fill>
    <fill>
      <patternFill patternType="solid">
        <fgColor theme="1"/>
        <bgColor indexed="64"/>
      </patternFill>
    </fill>
    <fill>
      <patternFill patternType="solid">
        <fgColor theme="1" tint="0.499984740745262"/>
        <bgColor indexed="64"/>
      </patternFill>
    </fill>
    <fill>
      <patternFill patternType="solid">
        <fgColor theme="0"/>
        <bgColor indexed="64"/>
      </patternFill>
    </fill>
    <fill>
      <patternFill patternType="solid">
        <fgColor rgb="FFF5F7FA"/>
        <bgColor indexed="64"/>
      </patternFill>
    </fill>
  </fills>
  <borders count="3">
    <border>
      <left/>
      <right/>
      <top/>
      <bottom/>
      <diagonal/>
    </border>
    <border>
      <left/>
      <right/>
      <top style="thin">
        <color rgb="FFF4F7FB"/>
      </top>
      <bottom/>
      <diagonal/>
    </border>
    <border>
      <left/>
      <right/>
      <top/>
      <bottom style="thin">
        <color rgb="FFF4F7FB"/>
      </bottom>
      <diagonal/>
    </border>
  </borders>
  <cellStyleXfs count="2">
    <xf numFmtId="0" fontId="0" fillId="0" borderId="0"/>
    <xf numFmtId="43" fontId="12" fillId="0" borderId="0" applyFont="0" applyFill="0" applyBorder="0" applyAlignment="0" applyProtection="0"/>
  </cellStyleXfs>
  <cellXfs count="31">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right" indent="2"/>
    </xf>
    <xf numFmtId="2" fontId="0" fillId="0" borderId="0" xfId="0" applyNumberFormat="1"/>
    <xf numFmtId="0" fontId="0" fillId="0" borderId="0" xfId="0" applyAlignment="1">
      <alignment horizontal="right"/>
    </xf>
    <xf numFmtId="0" fontId="10" fillId="0" borderId="0" xfId="0" applyFont="1"/>
    <xf numFmtId="0" fontId="0" fillId="0" borderId="0" xfId="0" pivotButton="1"/>
    <xf numFmtId="1" fontId="0" fillId="0" borderId="0" xfId="0" applyNumberFormat="1"/>
    <xf numFmtId="0" fontId="0" fillId="2" borderId="0" xfId="0" applyFill="1"/>
    <xf numFmtId="14" fontId="0" fillId="0" borderId="0" xfId="0" applyNumberFormat="1"/>
    <xf numFmtId="10" fontId="0" fillId="0" borderId="0" xfId="0" applyNumberFormat="1"/>
    <xf numFmtId="164" fontId="0" fillId="0" borderId="0" xfId="1" applyNumberFormat="1" applyFont="1"/>
    <xf numFmtId="0" fontId="0" fillId="3" borderId="0" xfId="0" applyFill="1"/>
    <xf numFmtId="43" fontId="0" fillId="0" borderId="0" xfId="0" applyNumberFormat="1"/>
    <xf numFmtId="0" fontId="0" fillId="4" borderId="0" xfId="0" applyFill="1"/>
    <xf numFmtId="0" fontId="0" fillId="5" borderId="0" xfId="0" applyFill="1"/>
    <xf numFmtId="0" fontId="13" fillId="6" borderId="0" xfId="0" applyFont="1" applyFill="1"/>
    <xf numFmtId="0" fontId="13" fillId="6" borderId="0" xfId="0" applyFont="1" applyFill="1" applyAlignment="1">
      <alignment horizontal="center"/>
    </xf>
    <xf numFmtId="0" fontId="13" fillId="6" borderId="1" xfId="0" applyFont="1" applyFill="1" applyBorder="1" applyAlignment="1">
      <alignment horizontal="center"/>
    </xf>
    <xf numFmtId="0" fontId="13" fillId="6" borderId="2" xfId="0" applyFont="1" applyFill="1" applyBorder="1" applyAlignment="1">
      <alignment horizontal="center"/>
    </xf>
    <xf numFmtId="165" fontId="0" fillId="0" borderId="0" xfId="0" applyNumberFormat="1"/>
    <xf numFmtId="0" fontId="11" fillId="2" borderId="0" xfId="0" applyFont="1" applyFill="1" applyAlignment="1">
      <alignment horizontal="center"/>
    </xf>
    <xf numFmtId="0" fontId="11" fillId="2" borderId="0" xfId="0" applyFont="1" applyFill="1" applyAlignment="1">
      <alignment horizontal="center" vertical="center"/>
    </xf>
  </cellXfs>
  <cellStyles count="2">
    <cellStyle name="Comma" xfId="1" builtinId="3"/>
    <cellStyle name="Normal" xfId="0" builtinId="0"/>
  </cellStyles>
  <dxfs count="28">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dxf>
    <dxf>
      <numFmt numFmtId="19" formatCode="m/d/yyyy"/>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35" formatCode="_(* #,##0.00_);_(* \(#,##0.00\);_(* &quot;-&quot;??_);_(@_)"/>
    </dxf>
    <dxf>
      <numFmt numFmtId="165" formatCode="0.0%"/>
    </dxf>
    <dxf>
      <numFmt numFmtId="14" formatCode="0.00%"/>
    </dxf>
    <dxf>
      <numFmt numFmtId="14" formatCode="0.00%"/>
    </dxf>
    <dxf>
      <fill>
        <patternFill>
          <bgColor rgb="FF2563EB"/>
        </patternFill>
      </fill>
    </dxf>
    <dxf>
      <fill>
        <patternFill>
          <bgColor rgb="FF2563EB"/>
        </patternFill>
      </fill>
    </dxf>
  </dxfs>
  <tableStyles count="4" defaultTableStyle="TableStyleMedium2" defaultPivotStyle="PivotStyleLight16">
    <tableStyle name="Invisible" pivot="0" table="0" count="0" xr9:uid="{AA73528B-8D85-432A-9172-AA70B5E8C669}"/>
    <tableStyle name="Slicer Style 1" pivot="0" table="0" count="0" xr9:uid="{CC2C36BF-B223-4AC9-98E9-DB39A46CC180}"/>
    <tableStyle name="Slicer Style 2" pivot="0" table="0" count="1" xr9:uid="{65D59887-3DF6-4E46-9AFB-6784DEDC1722}">
      <tableStyleElement type="wholeTable" dxfId="27"/>
    </tableStyle>
    <tableStyle name="Slicer Style 3" pivot="0" table="0" count="1" xr9:uid="{AA8B0972-7DF2-483B-B857-5C1DC60B912C}">
      <tableStyleElement type="headerRow" dxfId="26"/>
    </tableStyle>
  </tableStyles>
  <colors>
    <mruColors>
      <color rgb="FF1A2B49"/>
      <color rgb="FF2563EB"/>
    </mruColors>
  </colors>
  <extLst>
    <ext xmlns:x14="http://schemas.microsoft.com/office/spreadsheetml/2009/9/main" uri="{EB79DEF2-80B8-43e5-95BD-54CBDDF9020C}">
      <x14:slicerStyles defaultSlicerStyle="Slicer Style 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Mohammed Mohammed Elmimi (2) (1)98.xlsx]pivot tables!PivotTable4</c:name>
    <c:fmtId val="10"/>
  </c:pivotSource>
  <c:chart>
    <c:title>
      <c:tx>
        <c:rich>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r>
              <a:rPr lang="en-US"/>
              <a:t>Sales by platform</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tables'!$W$4</c:f>
              <c:strCache>
                <c:ptCount val="1"/>
                <c:pt idx="0">
                  <c:v>Total</c:v>
                </c:pt>
              </c:strCache>
            </c:strRef>
          </c:tx>
          <c:spPr>
            <a:solidFill>
              <a:srgbClr val="2563EB"/>
            </a:solidFill>
            <a:ln>
              <a:solidFill>
                <a:srgbClr val="2563EB"/>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tables'!$V$5:$V$13</c:f>
              <c:strCache>
                <c:ptCount val="8"/>
                <c:pt idx="0">
                  <c:v>السويس</c:v>
                </c:pt>
                <c:pt idx="1">
                  <c:v>اوسكار راتن </c:v>
                </c:pt>
                <c:pt idx="2">
                  <c:v>تاكى</c:v>
                </c:pt>
                <c:pt idx="3">
                  <c:v>شيك هومز </c:v>
                </c:pt>
                <c:pt idx="4">
                  <c:v>فيسبوك</c:v>
                </c:pt>
                <c:pt idx="5">
                  <c:v>كيمت </c:v>
                </c:pt>
                <c:pt idx="6">
                  <c:v>منزلى </c:v>
                </c:pt>
                <c:pt idx="7">
                  <c:v>هومزمارت</c:v>
                </c:pt>
              </c:strCache>
            </c:strRef>
          </c:cat>
          <c:val>
            <c:numRef>
              <c:f>'pivot tables'!$W$5:$W$13</c:f>
              <c:numCache>
                <c:formatCode>General</c:formatCode>
                <c:ptCount val="8"/>
                <c:pt idx="0">
                  <c:v>4</c:v>
                </c:pt>
                <c:pt idx="1">
                  <c:v>13</c:v>
                </c:pt>
                <c:pt idx="2">
                  <c:v>9</c:v>
                </c:pt>
                <c:pt idx="3">
                  <c:v>16</c:v>
                </c:pt>
                <c:pt idx="4">
                  <c:v>3</c:v>
                </c:pt>
                <c:pt idx="5">
                  <c:v>1</c:v>
                </c:pt>
                <c:pt idx="6">
                  <c:v>2</c:v>
                </c:pt>
                <c:pt idx="7">
                  <c:v>78</c:v>
                </c:pt>
              </c:numCache>
            </c:numRef>
          </c:val>
          <c:extLst>
            <c:ext xmlns:c16="http://schemas.microsoft.com/office/drawing/2014/chart" uri="{C3380CC4-5D6E-409C-BE32-E72D297353CC}">
              <c16:uniqueId val="{00000000-48BE-423D-8710-5E574EE2B1E3}"/>
            </c:ext>
          </c:extLst>
        </c:ser>
        <c:dLbls>
          <c:dLblPos val="outEnd"/>
          <c:showLegendKey val="0"/>
          <c:showVal val="1"/>
          <c:showCatName val="0"/>
          <c:showSerName val="0"/>
          <c:showPercent val="0"/>
          <c:showBubbleSize val="0"/>
        </c:dLbls>
        <c:gapWidth val="182"/>
        <c:axId val="1951349455"/>
        <c:axId val="1951350415"/>
      </c:barChart>
      <c:catAx>
        <c:axId val="195134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1951350415"/>
        <c:crosses val="autoZero"/>
        <c:auto val="1"/>
        <c:lblAlgn val="ctr"/>
        <c:lblOffset val="100"/>
        <c:noMultiLvlLbl val="0"/>
      </c:catAx>
      <c:valAx>
        <c:axId val="195135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195134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Mohammed Mohammed Elmimi (2) (1)98.xlsx]pivot tables!PivotTable9</c:name>
    <c:fmtId val="4"/>
  </c:pivotSource>
  <c:chart>
    <c:title>
      <c:tx>
        <c:rich>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r>
              <a:rPr lang="en-US"/>
              <a:t>Orders by area</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tables'!$BN$4</c:f>
              <c:strCache>
                <c:ptCount val="1"/>
                <c:pt idx="0">
                  <c:v>Total</c:v>
                </c:pt>
              </c:strCache>
            </c:strRef>
          </c:tx>
          <c:spPr>
            <a:solidFill>
              <a:srgbClr val="2563EB"/>
            </a:solidFill>
            <a:ln>
              <a:solidFill>
                <a:srgbClr val="2563EB"/>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tables'!$BM$5:$BM$14</c:f>
              <c:strCache>
                <c:ptCount val="9"/>
                <c:pt idx="0">
                  <c:v>أسيوط</c:v>
                </c:pt>
                <c:pt idx="1">
                  <c:v>الإسكندرية</c:v>
                </c:pt>
                <c:pt idx="2">
                  <c:v>البحر الأحمر</c:v>
                </c:pt>
                <c:pt idx="3">
                  <c:v>الجيزة</c:v>
                </c:pt>
                <c:pt idx="4">
                  <c:v>السويس</c:v>
                </c:pt>
                <c:pt idx="5">
                  <c:v>القاهره</c:v>
                </c:pt>
                <c:pt idx="6">
                  <c:v>القليوبية</c:v>
                </c:pt>
                <c:pt idx="7">
                  <c:v>مطروح</c:v>
                </c:pt>
                <c:pt idx="8">
                  <c:v>(blank)</c:v>
                </c:pt>
              </c:strCache>
            </c:strRef>
          </c:cat>
          <c:val>
            <c:numRef>
              <c:f>'pivot tables'!$BN$5:$BN$14</c:f>
              <c:numCache>
                <c:formatCode>General</c:formatCode>
                <c:ptCount val="9"/>
                <c:pt idx="0">
                  <c:v>1</c:v>
                </c:pt>
                <c:pt idx="1">
                  <c:v>5</c:v>
                </c:pt>
                <c:pt idx="2">
                  <c:v>6</c:v>
                </c:pt>
                <c:pt idx="3">
                  <c:v>23</c:v>
                </c:pt>
                <c:pt idx="4">
                  <c:v>4</c:v>
                </c:pt>
                <c:pt idx="5">
                  <c:v>56</c:v>
                </c:pt>
                <c:pt idx="6">
                  <c:v>6</c:v>
                </c:pt>
                <c:pt idx="7">
                  <c:v>2</c:v>
                </c:pt>
              </c:numCache>
            </c:numRef>
          </c:val>
          <c:extLst>
            <c:ext xmlns:c16="http://schemas.microsoft.com/office/drawing/2014/chart" uri="{C3380CC4-5D6E-409C-BE32-E72D297353CC}">
              <c16:uniqueId val="{00000000-130F-4C97-9879-6F8C0BF204BF}"/>
            </c:ext>
          </c:extLst>
        </c:ser>
        <c:dLbls>
          <c:dLblPos val="outEnd"/>
          <c:showLegendKey val="0"/>
          <c:showVal val="1"/>
          <c:showCatName val="0"/>
          <c:showSerName val="0"/>
          <c:showPercent val="0"/>
          <c:showBubbleSize val="0"/>
        </c:dLbls>
        <c:gapWidth val="219"/>
        <c:overlap val="-27"/>
        <c:axId val="459177887"/>
        <c:axId val="459177407"/>
      </c:barChart>
      <c:catAx>
        <c:axId val="45917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459177407"/>
        <c:crosses val="autoZero"/>
        <c:auto val="1"/>
        <c:lblAlgn val="ctr"/>
        <c:lblOffset val="100"/>
        <c:noMultiLvlLbl val="0"/>
      </c:catAx>
      <c:valAx>
        <c:axId val="45917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45917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Mohammed Mohammed Elmimi (2) (1)98.xlsx]pivot tables!PivotTable7</c:name>
    <c:fmtId val="4"/>
  </c:pivotSource>
  <c:chart>
    <c:title>
      <c:tx>
        <c:rich>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r>
              <a:rPr lang="en-US"/>
              <a:t>delivery status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3685914260717416E-2"/>
              <c:y val="3.3994240303295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3685914260717416E-2"/>
              <c:y val="3.3994240303295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2563EB"/>
          </a:solidFill>
          <a:ln w="19050">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563EB"/>
          </a:solidFill>
          <a:ln w="19050">
            <a:solidFill>
              <a:srgbClr val="2563EB"/>
            </a:solidFill>
            <a:prstDash val="solid"/>
          </a:ln>
          <a:effectLst/>
        </c:spPr>
        <c:dLbl>
          <c:idx val="0"/>
          <c:layout>
            <c:manualLayout>
              <c:x val="-4.5637182588041539E-3"/>
              <c:y val="-8.79863043539230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97316"/>
          </a:solidFill>
          <a:ln w="19050">
            <a:solidFill>
              <a:srgbClr val="2563EB"/>
            </a:solidFill>
            <a:prstDash val="solid"/>
          </a:ln>
          <a:effectLst/>
        </c:spPr>
        <c:dLbl>
          <c:idx val="0"/>
          <c:layout>
            <c:manualLayout>
              <c:x val="-5.0493665726646569E-2"/>
              <c:y val="2.8878496091431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4A3B8"/>
          </a:solidFill>
          <a:ln w="19050">
            <a:solidFill>
              <a:srgbClr val="2563EB"/>
            </a:solidFill>
            <a:prstDash val="solid"/>
          </a:ln>
          <a:effectLst/>
        </c:spPr>
        <c:dLbl>
          <c:idx val="0"/>
          <c:layout>
            <c:manualLayout>
              <c:x val="0.14150733567407303"/>
              <c:y val="-0.12880776650091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563EB"/>
          </a:solidFill>
          <a:ln w="19050">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C55E"/>
          </a:solidFill>
          <a:ln w="19050">
            <a:solidFill>
              <a:srgbClr val="FFFFFF"/>
            </a:solidFill>
            <a:prstDash val="solid"/>
          </a:ln>
          <a:effectLst/>
        </c:spPr>
        <c:dLbl>
          <c:idx val="0"/>
          <c:layout>
            <c:manualLayout>
              <c:x val="-3.1053866611044482E-2"/>
              <c:y val="-9.7376067428191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97316"/>
          </a:solidFill>
          <a:ln w="19050">
            <a:solidFill>
              <a:srgbClr val="FFFFFF"/>
            </a:solidFill>
            <a:prstDash val="solid"/>
          </a:ln>
          <a:effectLst/>
        </c:spPr>
        <c:dLbl>
          <c:idx val="0"/>
          <c:layout>
            <c:manualLayout>
              <c:x val="-5.0493665726646569E-2"/>
              <c:y val="2.8878496091431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F4444"/>
          </a:solidFill>
          <a:ln w="19050">
            <a:solidFill>
              <a:srgbClr val="FFFFFF"/>
            </a:solidFill>
            <a:prstDash val="solid"/>
          </a:ln>
          <a:effectLst/>
        </c:spPr>
        <c:dLbl>
          <c:idx val="0"/>
          <c:layout>
            <c:manualLayout>
              <c:x val="0.14150733567407303"/>
              <c:y val="-0.128807766500913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tables'!$AS$4</c:f>
              <c:strCache>
                <c:ptCount val="1"/>
                <c:pt idx="0">
                  <c:v>Total</c:v>
                </c:pt>
              </c:strCache>
            </c:strRef>
          </c:tx>
          <c:spPr>
            <a:solidFill>
              <a:srgbClr val="2563EB"/>
            </a:solidFill>
            <a:ln>
              <a:solidFill>
                <a:srgbClr val="2563EB"/>
              </a:solidFill>
              <a:prstDash val="solid"/>
            </a:ln>
          </c:spPr>
          <c:dPt>
            <c:idx val="0"/>
            <c:bubble3D val="0"/>
            <c:spPr>
              <a:solidFill>
                <a:srgbClr val="22C55E"/>
              </a:solidFill>
              <a:ln w="19050">
                <a:solidFill>
                  <a:srgbClr val="FFFFFF"/>
                </a:solidFill>
                <a:prstDash val="solid"/>
              </a:ln>
              <a:effectLst/>
            </c:spPr>
            <c:extLst>
              <c:ext xmlns:c16="http://schemas.microsoft.com/office/drawing/2014/chart" uri="{C3380CC4-5D6E-409C-BE32-E72D297353CC}">
                <c16:uniqueId val="{00000001-904C-452D-9B76-8885EE12FD27}"/>
              </c:ext>
            </c:extLst>
          </c:dPt>
          <c:dPt>
            <c:idx val="1"/>
            <c:bubble3D val="0"/>
            <c:spPr>
              <a:solidFill>
                <a:srgbClr val="F97316"/>
              </a:solidFill>
              <a:ln w="19050">
                <a:solidFill>
                  <a:srgbClr val="FFFFFF"/>
                </a:solidFill>
                <a:prstDash val="solid"/>
              </a:ln>
              <a:effectLst/>
            </c:spPr>
            <c:extLst>
              <c:ext xmlns:c16="http://schemas.microsoft.com/office/drawing/2014/chart" uri="{C3380CC4-5D6E-409C-BE32-E72D297353CC}">
                <c16:uniqueId val="{00000003-904C-452D-9B76-8885EE12FD27}"/>
              </c:ext>
            </c:extLst>
          </c:dPt>
          <c:dPt>
            <c:idx val="2"/>
            <c:bubble3D val="0"/>
            <c:spPr>
              <a:solidFill>
                <a:srgbClr val="EF4444"/>
              </a:solidFill>
              <a:ln w="19050">
                <a:solidFill>
                  <a:srgbClr val="FFFFFF"/>
                </a:solidFill>
                <a:prstDash val="solid"/>
              </a:ln>
              <a:effectLst/>
            </c:spPr>
            <c:extLst>
              <c:ext xmlns:c16="http://schemas.microsoft.com/office/drawing/2014/chart" uri="{C3380CC4-5D6E-409C-BE32-E72D297353CC}">
                <c16:uniqueId val="{00000005-904C-452D-9B76-8885EE12FD27}"/>
              </c:ext>
            </c:extLst>
          </c:dPt>
          <c:dLbls>
            <c:dLbl>
              <c:idx val="0"/>
              <c:layout>
                <c:manualLayout>
                  <c:x val="-3.1053866611044482E-2"/>
                  <c:y val="-9.73760674281912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4C-452D-9B76-8885EE12FD27}"/>
                </c:ext>
              </c:extLst>
            </c:dLbl>
            <c:dLbl>
              <c:idx val="1"/>
              <c:layout>
                <c:manualLayout>
                  <c:x val="-5.0493665726646569E-2"/>
                  <c:y val="2.88784960914314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4C-452D-9B76-8885EE12FD27}"/>
                </c:ext>
              </c:extLst>
            </c:dLbl>
            <c:dLbl>
              <c:idx val="2"/>
              <c:layout>
                <c:manualLayout>
                  <c:x val="0.14150733567407303"/>
                  <c:y val="-0.1288077665009138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4C-452D-9B76-8885EE12FD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tables'!$AR$5:$AR$8</c:f>
              <c:strCache>
                <c:ptCount val="3"/>
                <c:pt idx="0">
                  <c:v>تم التسليم في الموعد</c:v>
                </c:pt>
                <c:pt idx="1">
                  <c:v>لم يسلم</c:v>
                </c:pt>
                <c:pt idx="2">
                  <c:v>متأخر</c:v>
                </c:pt>
              </c:strCache>
            </c:strRef>
          </c:cat>
          <c:val>
            <c:numRef>
              <c:f>'pivot tables'!$AS$5:$AS$8</c:f>
              <c:numCache>
                <c:formatCode>0.0%</c:formatCode>
                <c:ptCount val="3"/>
                <c:pt idx="0">
                  <c:v>0.35714285714285715</c:v>
                </c:pt>
                <c:pt idx="1">
                  <c:v>0.21428571428571427</c:v>
                </c:pt>
                <c:pt idx="2">
                  <c:v>0.42857142857142855</c:v>
                </c:pt>
              </c:numCache>
            </c:numRef>
          </c:val>
          <c:extLst>
            <c:ext xmlns:c16="http://schemas.microsoft.com/office/drawing/2014/chart" uri="{C3380CC4-5D6E-409C-BE32-E72D297353CC}">
              <c16:uniqueId val="{00000006-904C-452D-9B76-8885EE12FD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Mohammed Mohammed Elmimi (2) (1)98.xlsx]pivot tables!PivotTable10</c:name>
    <c:fmtId val="5"/>
  </c:pivotSource>
  <c:chart>
    <c:title>
      <c:tx>
        <c:rich>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r>
              <a:rPr kumimoji="0" lang="en-US" sz="1000" b="1" i="0" u="none" strike="noStrike" kern="0" cap="none" spc="0" normalizeH="0" noProof="0">
                <a:ln>
                  <a:noFill/>
                </a:ln>
                <a:solidFill>
                  <a:srgbClr val="111827"/>
                </a:solidFill>
                <a:effectLst/>
                <a:uLnTx/>
                <a:uFillTx/>
                <a:latin typeface="Segoe UI"/>
                <a:cs typeface="Segoe UI"/>
              </a:rPr>
              <a:t>number of client</a:t>
            </a:r>
            <a:r>
              <a:rPr kumimoji="0" lang="ar-EG" sz="1000" b="1" i="0" u="none" strike="noStrike" kern="0" cap="none" spc="0" normalizeH="0" baseline="0" noProof="0">
                <a:ln>
                  <a:noFill/>
                </a:ln>
                <a:solidFill>
                  <a:srgbClr val="111827"/>
                </a:solidFill>
                <a:effectLst/>
                <a:uLnTx/>
                <a:uFillTx/>
                <a:latin typeface="Segoe UI"/>
                <a:cs typeface="Segoe UI"/>
              </a:rPr>
              <a:t> </a:t>
            </a:r>
            <a:endParaRPr lang="en-US"/>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11827"/>
              </a:solidFill>
              <a:latin typeface="Segoe UI"/>
              <a:ea typeface="Segoe UI"/>
              <a:cs typeface="Segoe UI"/>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solidFill>
              <a:srgbClr val="2563EB"/>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tables'!$CB$4</c:f>
              <c:strCache>
                <c:ptCount val="1"/>
                <c:pt idx="0">
                  <c:v>Total</c:v>
                </c:pt>
              </c:strCache>
            </c:strRef>
          </c:tx>
          <c:spPr>
            <a:solidFill>
              <a:srgbClr val="2563EB"/>
            </a:solidFill>
            <a:ln>
              <a:solidFill>
                <a:srgbClr val="2563EB"/>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tables'!$CA$5:$CA$7</c:f>
              <c:strCache>
                <c:ptCount val="2"/>
                <c:pt idx="0">
                  <c:v>افراد</c:v>
                </c:pt>
                <c:pt idx="1">
                  <c:v>شركات</c:v>
                </c:pt>
              </c:strCache>
            </c:strRef>
          </c:cat>
          <c:val>
            <c:numRef>
              <c:f>'pivot tables'!$CB$5:$CB$7</c:f>
              <c:numCache>
                <c:formatCode>General</c:formatCode>
                <c:ptCount val="2"/>
                <c:pt idx="0">
                  <c:v>91</c:v>
                </c:pt>
                <c:pt idx="1">
                  <c:v>35</c:v>
                </c:pt>
              </c:numCache>
            </c:numRef>
          </c:val>
          <c:extLst>
            <c:ext xmlns:c16="http://schemas.microsoft.com/office/drawing/2014/chart" uri="{C3380CC4-5D6E-409C-BE32-E72D297353CC}">
              <c16:uniqueId val="{00000000-415E-42D3-82B9-11BF61C40B22}"/>
            </c:ext>
          </c:extLst>
        </c:ser>
        <c:dLbls>
          <c:dLblPos val="outEnd"/>
          <c:showLegendKey val="0"/>
          <c:showVal val="1"/>
          <c:showCatName val="0"/>
          <c:showSerName val="0"/>
          <c:showPercent val="0"/>
          <c:showBubbleSize val="0"/>
        </c:dLbls>
        <c:gapWidth val="219"/>
        <c:overlap val="-27"/>
        <c:axId val="679796672"/>
        <c:axId val="679795712"/>
      </c:barChart>
      <c:catAx>
        <c:axId val="6797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679795712"/>
        <c:crosses val="autoZero"/>
        <c:auto val="1"/>
        <c:lblAlgn val="ctr"/>
        <c:lblOffset val="100"/>
        <c:noMultiLvlLbl val="0"/>
      </c:catAx>
      <c:valAx>
        <c:axId val="679795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B7280"/>
                </a:solidFill>
                <a:latin typeface="Segoe UI"/>
                <a:ea typeface="Segoe UI"/>
                <a:cs typeface="Segoe UI"/>
              </a:defRPr>
            </a:pPr>
            <a:endParaRPr lang="en-US"/>
          </a:p>
        </c:txPr>
        <c:crossAx val="67979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hyperlink" Target="#Table1__2!A1"/><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44585</xdr:colOff>
      <xdr:row>0</xdr:row>
      <xdr:rowOff>47625</xdr:rowOff>
    </xdr:from>
    <xdr:to>
      <xdr:col>25</xdr:col>
      <xdr:colOff>123825</xdr:colOff>
      <xdr:row>2</xdr:row>
      <xdr:rowOff>64108</xdr:rowOff>
    </xdr:to>
    <xdr:sp macro="" textlink="">
      <xdr:nvSpPr>
        <xdr:cNvPr id="2" name="Rectangle: Rounded Corners 1">
          <a:extLst>
            <a:ext uri="{FF2B5EF4-FFF2-40B4-BE49-F238E27FC236}">
              <a16:creationId xmlns:a16="http://schemas.microsoft.com/office/drawing/2014/main" id="{4FBABE40-F859-4B92-BF4A-AF38BEFE87A2}"/>
            </a:ext>
          </a:extLst>
        </xdr:cNvPr>
        <xdr:cNvSpPr/>
      </xdr:nvSpPr>
      <xdr:spPr>
        <a:xfrm>
          <a:off x="2473460" y="47625"/>
          <a:ext cx="9794740" cy="473683"/>
        </a:xfrm>
        <a:prstGeom prst="round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kumimoji="0" lang="en-US" sz="1200" b="1" i="0" u="none" strike="noStrike" kern="0" cap="none" spc="0" normalizeH="0" noProof="0">
              <a:ln>
                <a:noFill/>
              </a:ln>
              <a:solidFill>
                <a:srgbClr val="FFFFFF"/>
              </a:solidFill>
              <a:effectLst/>
              <a:uLnTx/>
              <a:uFillTx/>
              <a:latin typeface="Segoe UI"/>
              <a:ea typeface="+mn-ea"/>
              <a:cs typeface="Segoe UI"/>
            </a:rPr>
            <a:t>dashboard misuo sales </a:t>
          </a:r>
        </a:p>
      </xdr:txBody>
    </xdr:sp>
    <xdr:clientData/>
  </xdr:twoCellAnchor>
  <xdr:twoCellAnchor>
    <xdr:from>
      <xdr:col>5</xdr:col>
      <xdr:colOff>44585</xdr:colOff>
      <xdr:row>2</xdr:row>
      <xdr:rowOff>130783</xdr:rowOff>
    </xdr:from>
    <xdr:to>
      <xdr:col>9</xdr:col>
      <xdr:colOff>4053</xdr:colOff>
      <xdr:row>5</xdr:row>
      <xdr:rowOff>206307</xdr:rowOff>
    </xdr:to>
    <xdr:sp macro="" textlink="">
      <xdr:nvSpPr>
        <xdr:cNvPr id="3" name="Rectangle: Rounded Corners 2">
          <a:extLst>
            <a:ext uri="{FF2B5EF4-FFF2-40B4-BE49-F238E27FC236}">
              <a16:creationId xmlns:a16="http://schemas.microsoft.com/office/drawing/2014/main" id="{ED005429-568F-4A7A-85EC-7025DC0F8A60}"/>
            </a:ext>
            <a:ext uri="{C183D7F6-B498-43B3-948B-1728B52AA6E4}">
              <adec:decorative xmlns:adec="http://schemas.microsoft.com/office/drawing/2017/decorative" val="0"/>
            </a:ext>
          </a:extLst>
        </xdr:cNvPr>
        <xdr:cNvSpPr/>
      </xdr:nvSpPr>
      <xdr:spPr>
        <a:xfrm>
          <a:off x="24765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kern="0" cap="none" spc="0" normalizeH="0" noProof="0">
              <a:ln>
                <a:noFill/>
              </a:ln>
              <a:solidFill>
                <a:srgbClr val="111827"/>
              </a:solidFill>
              <a:uLnTx/>
              <a:uFillTx/>
              <a:latin typeface="Segoe UI"/>
              <a:cs typeface="Segoe UI"/>
            </a:rPr>
            <a:t>total</a:t>
          </a:r>
          <a:r>
            <a:rPr kumimoji="0" lang="en-US" sz="1300" b="1" kern="0" cap="none" spc="0" normalizeH="0" baseline="0" noProof="0">
              <a:ln>
                <a:noFill/>
              </a:ln>
              <a:solidFill>
                <a:srgbClr val="111827"/>
              </a:solidFill>
              <a:uLnTx/>
              <a:uFillTx/>
              <a:latin typeface="Segoe UI"/>
              <a:cs typeface="Segoe UI"/>
            </a:rPr>
            <a:t> sales</a:t>
          </a:r>
        </a:p>
        <a:p>
          <a:pPr algn="ctr"/>
          <a:r>
            <a:rPr kumimoji="0" lang="en-US" sz="1300" b="1" i="0" u="none" strike="noStrike" kern="0" cap="none" spc="0" normalizeH="0" noProof="0">
              <a:ln>
                <a:noFill/>
              </a:ln>
              <a:solidFill>
                <a:srgbClr val="111827"/>
              </a:solidFill>
              <a:effectLst/>
              <a:uLnTx/>
              <a:uFillTx/>
              <a:latin typeface="Segoe UI"/>
              <a:ea typeface="+mn-ea"/>
              <a:cs typeface="Segoe UI"/>
            </a:rPr>
            <a:t>  1,293,134.8 </a:t>
          </a:r>
          <a:r>
            <a:rPr kumimoji="0" lang="en-US" sz="1300" b="1" kern="0" cap="none" spc="0" normalizeH="0" baseline="0" noProof="0">
              <a:ln>
                <a:noFill/>
              </a:ln>
              <a:solidFill>
                <a:srgbClr val="111827"/>
              </a:solidFill>
              <a:uLnTx/>
              <a:uFillTx/>
              <a:latin typeface="Segoe UI"/>
              <a:cs typeface="Segoe UI"/>
            </a:rPr>
            <a:t> </a:t>
          </a:r>
          <a:endParaRPr kumimoji="0" lang="en-US" sz="1300" b="1" kern="0" cap="none" spc="0" normalizeH="0" noProof="0">
            <a:ln>
              <a:noFill/>
            </a:ln>
            <a:solidFill>
              <a:srgbClr val="111827"/>
            </a:solidFill>
            <a:uLnTx/>
            <a:uFillTx/>
            <a:latin typeface="Segoe UI"/>
            <a:cs typeface="Segoe UI"/>
          </a:endParaRPr>
        </a:p>
      </xdr:txBody>
    </xdr:sp>
    <xdr:clientData/>
  </xdr:twoCellAnchor>
  <xdr:twoCellAnchor>
    <xdr:from>
      <xdr:col>9</xdr:col>
      <xdr:colOff>105653</xdr:colOff>
      <xdr:row>2</xdr:row>
      <xdr:rowOff>130783</xdr:rowOff>
    </xdr:from>
    <xdr:to>
      <xdr:col>13</xdr:col>
      <xdr:colOff>65121</xdr:colOff>
      <xdr:row>5</xdr:row>
      <xdr:rowOff>206307</xdr:rowOff>
    </xdr:to>
    <xdr:sp macro="" textlink="">
      <xdr:nvSpPr>
        <xdr:cNvPr id="4" name="Rectangle: Rounded Corners 3">
          <a:extLst>
            <a:ext uri="{FF2B5EF4-FFF2-40B4-BE49-F238E27FC236}">
              <a16:creationId xmlns:a16="http://schemas.microsoft.com/office/drawing/2014/main" id="{BA16C517-2EA3-411F-8EFF-7E815A67C62E}"/>
            </a:ext>
            <a:ext uri="{C183D7F6-B498-43B3-948B-1728B52AA6E4}">
              <adec:decorative xmlns:adec="http://schemas.microsoft.com/office/drawing/2017/decorative" val="0"/>
            </a:ext>
          </a:extLst>
        </xdr:cNvPr>
        <xdr:cNvSpPr/>
      </xdr:nvSpPr>
      <xdr:spPr>
        <a:xfrm>
          <a:off x="44831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kern="0" cap="none" spc="0" normalizeH="0" noProof="0">
              <a:ln>
                <a:noFill/>
              </a:ln>
              <a:solidFill>
                <a:srgbClr val="111827"/>
              </a:solidFill>
              <a:uLnTx/>
              <a:uFillTx/>
              <a:latin typeface="Segoe UI"/>
              <a:cs typeface="Segoe UI"/>
            </a:rPr>
            <a:t>Total</a:t>
          </a:r>
          <a:r>
            <a:rPr kumimoji="0" lang="en-US" sz="1300" b="1" kern="0" cap="none" spc="0" normalizeH="0" baseline="0" noProof="0">
              <a:ln>
                <a:noFill/>
              </a:ln>
              <a:solidFill>
                <a:srgbClr val="111827"/>
              </a:solidFill>
              <a:uLnTx/>
              <a:uFillTx/>
              <a:latin typeface="Segoe UI"/>
              <a:cs typeface="Segoe UI"/>
            </a:rPr>
            <a:t> orders</a:t>
          </a:r>
          <a:r>
            <a:rPr kumimoji="0" lang="en-US" sz="1300" b="1" i="0" u="none" strike="noStrike" kern="0" cap="none" spc="0" normalizeH="0" noProof="0">
              <a:ln>
                <a:noFill/>
              </a:ln>
              <a:solidFill>
                <a:srgbClr val="111827"/>
              </a:solidFill>
              <a:effectLst/>
              <a:uLnTx/>
              <a:uFillTx/>
              <a:latin typeface="Segoe UI"/>
              <a:ea typeface="+mn-ea"/>
              <a:cs typeface="Segoe UI"/>
            </a:rPr>
            <a:t>            </a:t>
          </a:r>
        </a:p>
        <a:p>
          <a:pPr algn="ctr"/>
          <a:r>
            <a:rPr kumimoji="0" lang="en-US" sz="1300" b="1" i="0" u="none" strike="noStrike" kern="0" cap="none" spc="0" normalizeH="0" noProof="0">
              <a:ln>
                <a:noFill/>
              </a:ln>
              <a:solidFill>
                <a:srgbClr val="111827"/>
              </a:solidFill>
              <a:effectLst/>
              <a:uLnTx/>
              <a:uFillTx/>
              <a:latin typeface="Segoe UI"/>
              <a:ea typeface="+mn-ea"/>
              <a:cs typeface="Segoe UI"/>
            </a:rPr>
            <a:t>126</a:t>
          </a:r>
          <a:endParaRPr kumimoji="0" lang="en-US" sz="1300" b="1" kern="0" cap="none" spc="0" normalizeH="0" noProof="0">
            <a:ln>
              <a:noFill/>
            </a:ln>
            <a:solidFill>
              <a:srgbClr val="111827"/>
            </a:solidFill>
            <a:uLnTx/>
            <a:uFillTx/>
            <a:latin typeface="Segoe UI"/>
            <a:cs typeface="Segoe UI"/>
          </a:endParaRPr>
        </a:p>
      </xdr:txBody>
    </xdr:sp>
    <xdr:clientData/>
  </xdr:twoCellAnchor>
  <xdr:twoCellAnchor>
    <xdr:from>
      <xdr:col>13</xdr:col>
      <xdr:colOff>154021</xdr:colOff>
      <xdr:row>2</xdr:row>
      <xdr:rowOff>130783</xdr:rowOff>
    </xdr:from>
    <xdr:to>
      <xdr:col>17</xdr:col>
      <xdr:colOff>113489</xdr:colOff>
      <xdr:row>5</xdr:row>
      <xdr:rowOff>206307</xdr:rowOff>
    </xdr:to>
    <xdr:sp macro="" textlink="">
      <xdr:nvSpPr>
        <xdr:cNvPr id="5" name="Rectangle: Rounded Corners 4">
          <a:extLst>
            <a:ext uri="{FF2B5EF4-FFF2-40B4-BE49-F238E27FC236}">
              <a16:creationId xmlns:a16="http://schemas.microsoft.com/office/drawing/2014/main" id="{06E0B08D-7459-4619-A5C4-61145173DB83}"/>
            </a:ext>
            <a:ext uri="{C183D7F6-B498-43B3-948B-1728B52AA6E4}">
              <adec:decorative xmlns:adec="http://schemas.microsoft.com/office/drawing/2017/decorative" val="0"/>
            </a:ext>
          </a:extLst>
        </xdr:cNvPr>
        <xdr:cNvSpPr/>
      </xdr:nvSpPr>
      <xdr:spPr>
        <a:xfrm>
          <a:off x="64770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i="0" u="none" strike="noStrike" kern="0" cap="none" spc="0" normalizeH="0" noProof="0">
              <a:ln>
                <a:noFill/>
              </a:ln>
              <a:solidFill>
                <a:srgbClr val="111827"/>
              </a:solidFill>
              <a:effectLst/>
              <a:uLnTx/>
              <a:uFillTx/>
              <a:latin typeface="Segoe UI"/>
              <a:cs typeface="Segoe UI"/>
            </a:rPr>
            <a:t>Average</a:t>
          </a:r>
          <a:r>
            <a:rPr kumimoji="0" lang="en-US" sz="1300" b="1" i="0" u="none" strike="noStrike" kern="0" cap="none" spc="0" normalizeH="0" baseline="0" noProof="0">
              <a:ln>
                <a:noFill/>
              </a:ln>
              <a:solidFill>
                <a:srgbClr val="111827"/>
              </a:solidFill>
              <a:effectLst/>
              <a:uLnTx/>
              <a:uFillTx/>
              <a:latin typeface="Segoe UI"/>
              <a:cs typeface="Segoe UI"/>
            </a:rPr>
            <a:t> sell price </a:t>
          </a:r>
        </a:p>
        <a:p>
          <a:pPr algn="ctr"/>
          <a:r>
            <a:rPr kumimoji="0" lang="en-US" sz="1300" b="1" i="0" u="none" strike="noStrike" kern="0" cap="none" spc="0" normalizeH="0" baseline="0" noProof="0">
              <a:ln>
                <a:noFill/>
              </a:ln>
              <a:solidFill>
                <a:srgbClr val="111827"/>
              </a:solidFill>
              <a:effectLst/>
              <a:uLnTx/>
              <a:uFillTx/>
              <a:latin typeface="Segoe UI"/>
              <a:cs typeface="Segoe UI"/>
            </a:rPr>
            <a:t>10263</a:t>
          </a:r>
          <a:endParaRPr kumimoji="0" lang="en-US" sz="1300" b="1" i="0" u="none" strike="noStrike" kern="0" cap="none" spc="0" normalizeH="0" noProof="0">
            <a:ln>
              <a:noFill/>
            </a:ln>
            <a:solidFill>
              <a:srgbClr val="111827"/>
            </a:solidFill>
            <a:effectLst/>
            <a:uLnTx/>
            <a:uFillTx/>
            <a:latin typeface="Segoe UI"/>
            <a:cs typeface="Segoe UI"/>
          </a:endParaRPr>
        </a:p>
      </xdr:txBody>
    </xdr:sp>
    <xdr:clientData/>
  </xdr:twoCellAnchor>
  <xdr:twoCellAnchor>
    <xdr:from>
      <xdr:col>21</xdr:col>
      <xdr:colOff>187257</xdr:colOff>
      <xdr:row>5</xdr:row>
      <xdr:rowOff>231707</xdr:rowOff>
    </xdr:from>
    <xdr:to>
      <xdr:col>25</xdr:col>
      <xdr:colOff>146726</xdr:colOff>
      <xdr:row>9</xdr:row>
      <xdr:rowOff>74173</xdr:rowOff>
    </xdr:to>
    <xdr:sp macro="" textlink="">
      <xdr:nvSpPr>
        <xdr:cNvPr id="6" name="Rectangle: Rounded Corners 5">
          <a:extLst>
            <a:ext uri="{FF2B5EF4-FFF2-40B4-BE49-F238E27FC236}">
              <a16:creationId xmlns:a16="http://schemas.microsoft.com/office/drawing/2014/main" id="{45FCDAAB-1565-489E-A679-F249722A30C0}"/>
            </a:ext>
          </a:extLst>
        </xdr:cNvPr>
        <xdr:cNvSpPr/>
      </xdr:nvSpPr>
      <xdr:spPr>
        <a:xfrm>
          <a:off x="10401300" y="13970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i="0" u="none" strike="noStrike" kern="0" cap="none" spc="0" normalizeH="0" noProof="0">
              <a:ln>
                <a:noFill/>
              </a:ln>
              <a:solidFill>
                <a:srgbClr val="111827"/>
              </a:solidFill>
              <a:effectLst/>
              <a:uLnTx/>
              <a:uFillTx/>
              <a:latin typeface="Segoe UI"/>
              <a:cs typeface="Segoe UI"/>
            </a:rPr>
            <a:t>number of client</a:t>
          </a:r>
          <a:r>
            <a:rPr kumimoji="0" lang="ar-EG" sz="1300" b="1" i="0" u="none" strike="noStrike" kern="0" cap="none" spc="0" normalizeH="0" baseline="0" noProof="0">
              <a:ln>
                <a:noFill/>
              </a:ln>
              <a:solidFill>
                <a:srgbClr val="111827"/>
              </a:solidFill>
              <a:effectLst/>
              <a:uLnTx/>
              <a:uFillTx/>
              <a:latin typeface="Segoe UI"/>
              <a:cs typeface="Segoe UI"/>
            </a:rPr>
            <a:t> :</a:t>
          </a:r>
          <a:r>
            <a:rPr kumimoji="0" lang="en-US" sz="1300" b="1" i="0" u="none" strike="noStrike" kern="0" cap="none" spc="0" normalizeH="0" noProof="0">
              <a:ln>
                <a:noFill/>
              </a:ln>
              <a:solidFill>
                <a:srgbClr val="111827"/>
              </a:solidFill>
              <a:effectLst/>
              <a:uLnTx/>
              <a:uFillTx/>
              <a:latin typeface="Segoe UI"/>
              <a:cs typeface="Segoe UI"/>
            </a:rPr>
            <a:t>126</a:t>
          </a:r>
        </a:p>
      </xdr:txBody>
    </xdr:sp>
    <xdr:clientData/>
  </xdr:twoCellAnchor>
  <xdr:twoCellAnchor>
    <xdr:from>
      <xdr:col>21</xdr:col>
      <xdr:colOff>187257</xdr:colOff>
      <xdr:row>2</xdr:row>
      <xdr:rowOff>130783</xdr:rowOff>
    </xdr:from>
    <xdr:to>
      <xdr:col>25</xdr:col>
      <xdr:colOff>146726</xdr:colOff>
      <xdr:row>5</xdr:row>
      <xdr:rowOff>206307</xdr:rowOff>
    </xdr:to>
    <xdr:sp macro="" textlink="">
      <xdr:nvSpPr>
        <xdr:cNvPr id="7" name="Rectangle: Rounded Corners 6">
          <a:extLst>
            <a:ext uri="{FF2B5EF4-FFF2-40B4-BE49-F238E27FC236}">
              <a16:creationId xmlns:a16="http://schemas.microsoft.com/office/drawing/2014/main" id="{8FE51E54-2FC6-4E57-94D9-5D7EB1D7BAF9}"/>
            </a:ext>
            <a:ext uri="{C183D7F6-B498-43B3-948B-1728B52AA6E4}">
              <adec:decorative xmlns:adec="http://schemas.microsoft.com/office/drawing/2017/decorative" val="0"/>
            </a:ext>
          </a:extLst>
        </xdr:cNvPr>
        <xdr:cNvSpPr/>
      </xdr:nvSpPr>
      <xdr:spPr>
        <a:xfrm>
          <a:off x="104013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i="0" u="none" strike="noStrike" kern="0" cap="none" spc="0" normalizeH="0" baseline="0" noProof="0">
              <a:ln>
                <a:noFill/>
              </a:ln>
              <a:solidFill>
                <a:srgbClr val="111827"/>
              </a:solidFill>
              <a:effectLst/>
              <a:uLnTx/>
              <a:uFillTx/>
              <a:latin typeface="Segoe UI"/>
              <a:cs typeface="Segoe UI"/>
            </a:rPr>
            <a:t>best color sold</a:t>
          </a:r>
        </a:p>
        <a:p>
          <a:pPr algn="ctr"/>
          <a:r>
            <a:rPr kumimoji="0" lang="ar-EG" sz="1300" b="1" i="0" u="none" strike="noStrike" kern="0" cap="none" spc="0" normalizeH="0" baseline="0" noProof="0">
              <a:ln>
                <a:noFill/>
              </a:ln>
              <a:solidFill>
                <a:srgbClr val="111827"/>
              </a:solidFill>
              <a:effectLst/>
              <a:uLnTx/>
              <a:uFillTx/>
              <a:latin typeface="Segoe UI"/>
              <a:cs typeface="Segoe UI"/>
            </a:rPr>
            <a:t>ابيض</a:t>
          </a:r>
        </a:p>
        <a:p>
          <a:pPr algn="ctr"/>
          <a:endParaRPr kumimoji="0" lang="en-US" sz="1300" b="1" i="0" u="none" strike="noStrike" kern="0" cap="none" spc="0" normalizeH="0" baseline="0" noProof="0">
            <a:ln>
              <a:noFill/>
            </a:ln>
            <a:solidFill>
              <a:srgbClr val="111827"/>
            </a:solidFill>
            <a:effectLst/>
            <a:uLnTx/>
            <a:uFillTx/>
            <a:latin typeface="Segoe UI"/>
            <a:cs typeface="Segoe UI"/>
          </a:endParaRPr>
        </a:p>
      </xdr:txBody>
    </xdr:sp>
    <xdr:clientData/>
  </xdr:twoCellAnchor>
  <xdr:twoCellAnchor>
    <xdr:from>
      <xdr:col>17</xdr:col>
      <xdr:colOff>176989</xdr:colOff>
      <xdr:row>2</xdr:row>
      <xdr:rowOff>130783</xdr:rowOff>
    </xdr:from>
    <xdr:to>
      <xdr:col>21</xdr:col>
      <xdr:colOff>136457</xdr:colOff>
      <xdr:row>5</xdr:row>
      <xdr:rowOff>206307</xdr:rowOff>
    </xdr:to>
    <xdr:sp macro="" textlink="">
      <xdr:nvSpPr>
        <xdr:cNvPr id="8" name="Rectangle: Rounded Corners 7">
          <a:extLst>
            <a:ext uri="{FF2B5EF4-FFF2-40B4-BE49-F238E27FC236}">
              <a16:creationId xmlns:a16="http://schemas.microsoft.com/office/drawing/2014/main" id="{5B9ACDBF-B842-47D7-977D-9CACEC54D20A}"/>
            </a:ext>
            <a:ext uri="{C183D7F6-B498-43B3-948B-1728B52AA6E4}">
              <adec:decorative xmlns:adec="http://schemas.microsoft.com/office/drawing/2017/decorative" val="0"/>
            </a:ext>
          </a:extLst>
        </xdr:cNvPr>
        <xdr:cNvSpPr/>
      </xdr:nvSpPr>
      <xdr:spPr>
        <a:xfrm>
          <a:off x="8445500" y="596900"/>
          <a:ext cx="1905000" cy="774700"/>
        </a:xfrm>
        <a:prstGeom prst="roundRect">
          <a:avLst/>
        </a:prstGeom>
        <a:solidFill>
          <a:srgbClr val="FFFFFF"/>
        </a:solidFill>
        <a:ln w="12700" cap="flat" cmpd="sng" algn="ctr">
          <a:solidFill>
            <a:srgbClr val="E5E7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300" b="1" i="0" u="none" strike="noStrike" kern="0" cap="none" spc="0" normalizeH="0" noProof="0">
              <a:ln>
                <a:noFill/>
              </a:ln>
              <a:solidFill>
                <a:srgbClr val="111827"/>
              </a:solidFill>
              <a:effectLst/>
              <a:uLnTx/>
              <a:uFillTx/>
              <a:latin typeface="Segoe UI"/>
              <a:cs typeface="Segoe UI"/>
            </a:rPr>
            <a:t>Best</a:t>
          </a:r>
          <a:r>
            <a:rPr kumimoji="0" lang="en-US" sz="1300" b="1" i="0" u="none" strike="noStrike" kern="0" cap="none" spc="0" normalizeH="0" baseline="0" noProof="0">
              <a:ln>
                <a:noFill/>
              </a:ln>
              <a:solidFill>
                <a:srgbClr val="111827"/>
              </a:solidFill>
              <a:effectLst/>
              <a:uLnTx/>
              <a:uFillTx/>
              <a:latin typeface="Segoe UI"/>
              <a:cs typeface="Segoe UI"/>
            </a:rPr>
            <a:t> seller </a:t>
          </a:r>
        </a:p>
        <a:p>
          <a:pPr algn="ctr"/>
          <a:r>
            <a:rPr kumimoji="0" lang="ar-EG" sz="1300" b="1" i="0" u="none" strike="noStrike" kern="0" cap="none" spc="0" normalizeH="0" baseline="0" noProof="0">
              <a:ln>
                <a:noFill/>
              </a:ln>
              <a:solidFill>
                <a:srgbClr val="111827"/>
              </a:solidFill>
              <a:effectLst/>
              <a:uLnTx/>
              <a:uFillTx/>
              <a:latin typeface="Segoe UI"/>
              <a:cs typeface="Segoe UI"/>
            </a:rPr>
            <a:t>سرير</a:t>
          </a:r>
          <a:endParaRPr kumimoji="0" lang="en-US" sz="1300" b="1" i="0" u="none" strike="noStrike" kern="0" cap="none" spc="0" normalizeH="0" noProof="0">
            <a:ln>
              <a:noFill/>
            </a:ln>
            <a:solidFill>
              <a:srgbClr val="111827"/>
            </a:solidFill>
            <a:effectLst/>
            <a:uLnTx/>
            <a:uFillTx/>
            <a:latin typeface="Segoe UI"/>
            <a:cs typeface="Segoe UI"/>
          </a:endParaRPr>
        </a:p>
      </xdr:txBody>
    </xdr:sp>
    <xdr:clientData/>
  </xdr:twoCellAnchor>
  <xdr:twoCellAnchor>
    <xdr:from>
      <xdr:col>5</xdr:col>
      <xdr:colOff>44585</xdr:colOff>
      <xdr:row>5</xdr:row>
      <xdr:rowOff>231707</xdr:rowOff>
    </xdr:from>
    <xdr:to>
      <xdr:col>9</xdr:col>
      <xdr:colOff>473953</xdr:colOff>
      <xdr:row>7</xdr:row>
      <xdr:rowOff>184690</xdr:rowOff>
    </xdr:to>
    <xdr:sp macro="" textlink="">
      <xdr:nvSpPr>
        <xdr:cNvPr id="9" name="Rectangle: Rounded Corners 8">
          <a:extLst>
            <a:ext uri="{FF2B5EF4-FFF2-40B4-BE49-F238E27FC236}">
              <a16:creationId xmlns:a16="http://schemas.microsoft.com/office/drawing/2014/main" id="{75F8ABE8-3DF6-4258-9B23-D96DEB489103}"/>
            </a:ext>
          </a:extLst>
        </xdr:cNvPr>
        <xdr:cNvSpPr/>
      </xdr:nvSpPr>
      <xdr:spPr>
        <a:xfrm>
          <a:off x="2476500" y="1397000"/>
          <a:ext cx="2374900" cy="419100"/>
        </a:xfrm>
        <a:prstGeom prst="round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200" b="1" i="0" u="none" strike="noStrike" kern="0" cap="none" spc="0" normalizeH="0" noProof="0">
              <a:ln>
                <a:noFill/>
              </a:ln>
              <a:solidFill>
                <a:srgbClr val="FFFFFF"/>
              </a:solidFill>
              <a:effectLst/>
              <a:uLnTx/>
              <a:uFillTx/>
              <a:latin typeface="Segoe UI"/>
              <a:cs typeface="Segoe UI"/>
            </a:rPr>
            <a:t>Sales</a:t>
          </a:r>
          <a:r>
            <a:rPr kumimoji="0" lang="en-US" sz="1200" b="1" i="0" u="none" strike="noStrike" kern="0" cap="none" spc="0" normalizeH="0" baseline="0" noProof="0">
              <a:ln>
                <a:noFill/>
              </a:ln>
              <a:solidFill>
                <a:srgbClr val="FFFFFF"/>
              </a:solidFill>
              <a:effectLst/>
              <a:uLnTx/>
              <a:uFillTx/>
              <a:latin typeface="Segoe UI"/>
              <a:cs typeface="Segoe UI"/>
            </a:rPr>
            <a:t> by platform</a:t>
          </a:r>
        </a:p>
        <a:p>
          <a:pPr algn="ctr"/>
          <a:endParaRPr kumimoji="0" lang="en-US" sz="1200" b="1" i="0" u="none" strike="noStrike" kern="0" cap="none" spc="0" normalizeH="0" noProof="0">
            <a:ln>
              <a:noFill/>
            </a:ln>
            <a:solidFill>
              <a:srgbClr val="FFFFFF"/>
            </a:solidFill>
            <a:effectLst/>
            <a:uLnTx/>
            <a:uFillTx/>
            <a:latin typeface="Segoe UI"/>
            <a:cs typeface="Segoe UI"/>
          </a:endParaRPr>
        </a:p>
      </xdr:txBody>
    </xdr:sp>
    <xdr:clientData/>
  </xdr:twoCellAnchor>
  <xdr:twoCellAnchor>
    <xdr:from>
      <xdr:col>5</xdr:col>
      <xdr:colOff>47625</xdr:colOff>
      <xdr:row>8</xdr:row>
      <xdr:rowOff>127000</xdr:rowOff>
    </xdr:from>
    <xdr:to>
      <xdr:col>9</xdr:col>
      <xdr:colOff>479425</xdr:colOff>
      <xdr:row>21</xdr:row>
      <xdr:rowOff>190500</xdr:rowOff>
    </xdr:to>
    <xdr:graphicFrame macro="">
      <xdr:nvGraphicFramePr>
        <xdr:cNvPr id="10" name="Chart 9">
          <a:extLst>
            <a:ext uri="{FF2B5EF4-FFF2-40B4-BE49-F238E27FC236}">
              <a16:creationId xmlns:a16="http://schemas.microsoft.com/office/drawing/2014/main" id="{F58BA36A-8F56-44AE-9680-A64DA6ED3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165370</xdr:colOff>
      <xdr:row>5</xdr:row>
      <xdr:rowOff>231707</xdr:rowOff>
    </xdr:from>
    <xdr:to>
      <xdr:col>16</xdr:col>
      <xdr:colOff>472872</xdr:colOff>
      <xdr:row>7</xdr:row>
      <xdr:rowOff>184690</xdr:rowOff>
    </xdr:to>
    <xdr:sp macro="" textlink="">
      <xdr:nvSpPr>
        <xdr:cNvPr id="11" name="Rectangle: Rounded Corners 10">
          <a:extLst>
            <a:ext uri="{FF2B5EF4-FFF2-40B4-BE49-F238E27FC236}">
              <a16:creationId xmlns:a16="http://schemas.microsoft.com/office/drawing/2014/main" id="{122490CC-0056-47D3-918F-C999F363D707}"/>
            </a:ext>
          </a:extLst>
        </xdr:cNvPr>
        <xdr:cNvSpPr/>
      </xdr:nvSpPr>
      <xdr:spPr>
        <a:xfrm>
          <a:off x="5029200" y="1397000"/>
          <a:ext cx="3225800" cy="419100"/>
        </a:xfrm>
        <a:prstGeom prst="round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0" lang="en-US" sz="1200" b="1" i="0" u="none" strike="noStrike" kern="0" cap="none" spc="0" normalizeH="0" noProof="0">
              <a:ln>
                <a:noFill/>
              </a:ln>
              <a:solidFill>
                <a:srgbClr val="FFFFFF"/>
              </a:solidFill>
              <a:effectLst/>
              <a:uLnTx/>
              <a:uFillTx/>
              <a:latin typeface="Segoe UI"/>
              <a:cs typeface="Segoe UI"/>
            </a:rPr>
            <a:t>Orders</a:t>
          </a:r>
          <a:r>
            <a:rPr kumimoji="0" lang="en-US" sz="1200" b="1" i="0" u="none" strike="noStrike" kern="0" cap="none" spc="0" normalizeH="0" baseline="0" noProof="0">
              <a:ln>
                <a:noFill/>
              </a:ln>
              <a:solidFill>
                <a:srgbClr val="FFFFFF"/>
              </a:solidFill>
              <a:effectLst/>
              <a:uLnTx/>
              <a:uFillTx/>
              <a:latin typeface="Segoe UI"/>
              <a:cs typeface="Segoe UI"/>
            </a:rPr>
            <a:t> by area</a:t>
          </a:r>
          <a:endParaRPr kumimoji="0" lang="en-US" sz="1200" b="1" i="0" u="none" strike="noStrike" kern="0" cap="none" spc="0" normalizeH="0" noProof="0">
            <a:ln>
              <a:noFill/>
            </a:ln>
            <a:solidFill>
              <a:srgbClr val="FFFFFF"/>
            </a:solidFill>
            <a:effectLst/>
            <a:uLnTx/>
            <a:uFillTx/>
            <a:latin typeface="Segoe UI"/>
            <a:cs typeface="Segoe UI"/>
          </a:endParaRPr>
        </a:p>
      </xdr:txBody>
    </xdr:sp>
    <xdr:clientData/>
  </xdr:twoCellAnchor>
  <xdr:twoCellAnchor>
    <xdr:from>
      <xdr:col>10</xdr:col>
      <xdr:colOff>184150</xdr:colOff>
      <xdr:row>8</xdr:row>
      <xdr:rowOff>127000</xdr:rowOff>
    </xdr:from>
    <xdr:to>
      <xdr:col>17</xdr:col>
      <xdr:colOff>34925</xdr:colOff>
      <xdr:row>21</xdr:row>
      <xdr:rowOff>190500</xdr:rowOff>
    </xdr:to>
    <xdr:graphicFrame macro="">
      <xdr:nvGraphicFramePr>
        <xdr:cNvPr id="12" name="Chart 11">
          <a:extLst>
            <a:ext uri="{FF2B5EF4-FFF2-40B4-BE49-F238E27FC236}">
              <a16:creationId xmlns:a16="http://schemas.microsoft.com/office/drawing/2014/main" id="{56D45C8B-45FF-4A3E-9DBD-517088D01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113489</xdr:colOff>
      <xdr:row>5</xdr:row>
      <xdr:rowOff>231707</xdr:rowOff>
    </xdr:from>
    <xdr:to>
      <xdr:col>21</xdr:col>
      <xdr:colOff>111057</xdr:colOff>
      <xdr:row>7</xdr:row>
      <xdr:rowOff>184690</xdr:rowOff>
    </xdr:to>
    <xdr:sp macro="" textlink="">
      <xdr:nvSpPr>
        <xdr:cNvPr id="13" name="Rectangle: Rounded Corners 12">
          <a:extLst>
            <a:ext uri="{FF2B5EF4-FFF2-40B4-BE49-F238E27FC236}">
              <a16:creationId xmlns:a16="http://schemas.microsoft.com/office/drawing/2014/main" id="{BBEA9A08-5944-4B28-A43D-6B56AFC52675}"/>
            </a:ext>
          </a:extLst>
        </xdr:cNvPr>
        <xdr:cNvSpPr/>
      </xdr:nvSpPr>
      <xdr:spPr>
        <a:xfrm>
          <a:off x="8382000" y="1397000"/>
          <a:ext cx="1943100" cy="419100"/>
        </a:xfrm>
        <a:prstGeom prst="roundRect">
          <a:avLst/>
        </a:prstGeom>
        <a:solidFill>
          <a:srgbClr val="14B8A6"/>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rgbClr val="FFFFFF"/>
              </a:solidFill>
              <a:effectLst/>
              <a:uLnTx/>
              <a:uFillTx/>
              <a:latin typeface="Segoe UI"/>
              <a:ea typeface="+mn-ea"/>
              <a:cs typeface="Segoe UI"/>
            </a:rPr>
            <a:t>on time delivery rate </a:t>
          </a:r>
        </a:p>
        <a:p>
          <a:pPr rtl="0"/>
          <a:endParaRPr kumimoji="0" lang="en-US" sz="1200" b="1" u="none" strike="noStrike" kern="0" cap="none" spc="0" normalizeH="0" noProof="0">
            <a:ln>
              <a:noFill/>
            </a:ln>
            <a:solidFill>
              <a:srgbClr val="FFFFFF"/>
            </a:solidFill>
            <a:effectLst/>
            <a:uLnTx/>
            <a:uFillTx/>
            <a:latin typeface="Segoe UI"/>
            <a:cs typeface="Segoe UI"/>
          </a:endParaRPr>
        </a:p>
        <a:p>
          <a:pPr rtl="0"/>
          <a:endParaRPr kumimoji="0" lang="en-US" sz="1200" b="1" u="none" strike="noStrike" kern="0" cap="none" spc="0" normalizeH="0" noProof="0">
            <a:ln>
              <a:noFill/>
            </a:ln>
            <a:solidFill>
              <a:srgbClr val="FFFFFF"/>
            </a:solidFill>
            <a:effectLst/>
            <a:uLnTx/>
            <a:uFillTx/>
            <a:latin typeface="Segoe UI"/>
            <a:cs typeface="Segoe UI"/>
          </a:endParaRPr>
        </a:p>
      </xdr:txBody>
    </xdr:sp>
    <xdr:clientData/>
  </xdr:twoCellAnchor>
  <xdr:twoCellAnchor>
    <xdr:from>
      <xdr:col>17</xdr:col>
      <xdr:colOff>113489</xdr:colOff>
      <xdr:row>8</xdr:row>
      <xdr:rowOff>15132</xdr:rowOff>
    </xdr:from>
    <xdr:to>
      <xdr:col>21</xdr:col>
      <xdr:colOff>111057</xdr:colOff>
      <xdr:row>9</xdr:row>
      <xdr:rowOff>188473</xdr:rowOff>
    </xdr:to>
    <xdr:sp macro="" textlink="">
      <xdr:nvSpPr>
        <xdr:cNvPr id="14" name="Rectangle: Rounded Corners 17">
          <a:extLst>
            <a:ext uri="{FF2B5EF4-FFF2-40B4-BE49-F238E27FC236}">
              <a16:creationId xmlns:a16="http://schemas.microsoft.com/office/drawing/2014/main" id="{65B7BCBD-170D-472D-9759-B7A1C1C51DEA}"/>
            </a:ext>
          </a:extLst>
        </xdr:cNvPr>
        <xdr:cNvSpPr/>
      </xdr:nvSpPr>
      <xdr:spPr>
        <a:xfrm>
          <a:off x="8371664" y="1843932"/>
          <a:ext cx="1940668" cy="401941"/>
        </a:xfrm>
        <a:prstGeom prst="roundRect">
          <a:avLst/>
        </a:prstGeom>
        <a:solidFill>
          <a:srgbClr val="F97316"/>
        </a:solidFill>
        <a:ln w="12700" cap="flat" cmpd="sng" algn="ctr">
          <a:solidFill>
            <a:srgbClr val="F9731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kumimoji="0" lang="en-US" sz="1200" b="1" i="0" u="none" strike="noStrike" kern="0" cap="none" spc="0" normalizeH="0" noProof="0">
              <a:ln>
                <a:noFill/>
              </a:ln>
              <a:solidFill>
                <a:srgbClr val="FFFFFF"/>
              </a:solidFill>
              <a:effectLst/>
              <a:uLnTx/>
              <a:uFillTx/>
              <a:latin typeface="Segoe UI"/>
              <a:cs typeface="Segoe UI"/>
            </a:rPr>
            <a:t>orders not received rate</a:t>
          </a:r>
        </a:p>
      </xdr:txBody>
    </xdr:sp>
    <xdr:clientData/>
  </xdr:twoCellAnchor>
  <xdr:twoCellAnchor>
    <xdr:from>
      <xdr:col>17</xdr:col>
      <xdr:colOff>149224</xdr:colOff>
      <xdr:row>10</xdr:row>
      <xdr:rowOff>0</xdr:rowOff>
    </xdr:from>
    <xdr:to>
      <xdr:col>21</xdr:col>
      <xdr:colOff>123824</xdr:colOff>
      <xdr:row>21</xdr:row>
      <xdr:rowOff>190500</xdr:rowOff>
    </xdr:to>
    <xdr:graphicFrame macro="">
      <xdr:nvGraphicFramePr>
        <xdr:cNvPr id="15" name="Chart 14">
          <a:extLst>
            <a:ext uri="{FF2B5EF4-FFF2-40B4-BE49-F238E27FC236}">
              <a16:creationId xmlns:a16="http://schemas.microsoft.com/office/drawing/2014/main" id="{41415E81-41E8-4E0C-BC43-58B6E90DC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161924</xdr:colOff>
      <xdr:row>10</xdr:row>
      <xdr:rowOff>0</xdr:rowOff>
    </xdr:from>
    <xdr:to>
      <xdr:col>25</xdr:col>
      <xdr:colOff>123824</xdr:colOff>
      <xdr:row>21</xdr:row>
      <xdr:rowOff>190500</xdr:rowOff>
    </xdr:to>
    <xdr:graphicFrame macro="">
      <xdr:nvGraphicFramePr>
        <xdr:cNvPr id="16" name="Chart 15">
          <a:extLst>
            <a:ext uri="{FF2B5EF4-FFF2-40B4-BE49-F238E27FC236}">
              <a16:creationId xmlns:a16="http://schemas.microsoft.com/office/drawing/2014/main" id="{8A9DF6A1-BDB8-4A36-9D19-17A0AAD87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10</xdr:row>
      <xdr:rowOff>155440</xdr:rowOff>
    </xdr:from>
    <xdr:ext cx="2425700" cy="1524000"/>
    <mc:AlternateContent xmlns:mc="http://schemas.openxmlformats.org/markup-compatibility/2006" xmlns:a14="http://schemas.microsoft.com/office/drawing/2010/main">
      <mc:Choice Requires="a14">
        <xdr:graphicFrame macro="">
          <xdr:nvGraphicFramePr>
            <xdr:cNvPr id="17" name="المحافظه 1">
              <a:extLst>
                <a:ext uri="{FF2B5EF4-FFF2-40B4-BE49-F238E27FC236}">
                  <a16:creationId xmlns:a16="http://schemas.microsoft.com/office/drawing/2014/main" id="{C45AD1FA-F11C-4E72-A572-21E7A0DC8B83}"/>
                </a:ext>
              </a:extLst>
            </xdr:cNvPr>
            <xdr:cNvGraphicFramePr/>
          </xdr:nvGraphicFramePr>
          <xdr:xfrm>
            <a:off x="0" y="0"/>
            <a:ext cx="0" cy="0"/>
          </xdr:xfrm>
          <a:graphic>
            <a:graphicData uri="http://schemas.microsoft.com/office/drawing/2010/slicer">
              <sle:slicer xmlns:sle="http://schemas.microsoft.com/office/drawing/2010/slicer" name="المحافظه 1"/>
            </a:graphicData>
          </a:graphic>
        </xdr:graphicFrame>
      </mc:Choice>
      <mc:Fallback xmlns="">
        <xdr:sp macro="" textlink="">
          <xdr:nvSpPr>
            <xdr:cNvPr id="0" name=""/>
            <xdr:cNvSpPr>
              <a:spLocks noTextEdit="1"/>
            </xdr:cNvSpPr>
          </xdr:nvSpPr>
          <xdr:spPr>
            <a:xfrm>
              <a:off x="0" y="2441440"/>
              <a:ext cx="24257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12700</xdr:colOff>
      <xdr:row>5</xdr:row>
      <xdr:rowOff>104707</xdr:rowOff>
    </xdr:from>
    <xdr:ext cx="2425700" cy="1117600"/>
    <mc:AlternateContent xmlns:mc="http://schemas.openxmlformats.org/markup-compatibility/2006" xmlns:a14="http://schemas.microsoft.com/office/drawing/2010/main">
      <mc:Choice Requires="a14">
        <xdr:graphicFrame macro="">
          <xdr:nvGraphicFramePr>
            <xdr:cNvPr id="18" name="الصنف 1">
              <a:extLst>
                <a:ext uri="{FF2B5EF4-FFF2-40B4-BE49-F238E27FC236}">
                  <a16:creationId xmlns:a16="http://schemas.microsoft.com/office/drawing/2014/main" id="{2A1BCF53-99D5-4ED2-B673-7A48521831A6}"/>
                </a:ext>
              </a:extLst>
            </xdr:cNvPr>
            <xdr:cNvGraphicFramePr/>
          </xdr:nvGraphicFramePr>
          <xdr:xfrm>
            <a:off x="0" y="0"/>
            <a:ext cx="0" cy="0"/>
          </xdr:xfrm>
          <a:graphic>
            <a:graphicData uri="http://schemas.microsoft.com/office/drawing/2010/slicer">
              <sle:slicer xmlns:sle="http://schemas.microsoft.com/office/drawing/2010/slicer" name="الصنف 1"/>
            </a:graphicData>
          </a:graphic>
        </xdr:graphicFrame>
      </mc:Choice>
      <mc:Fallback xmlns="">
        <xdr:sp macro="" textlink="">
          <xdr:nvSpPr>
            <xdr:cNvPr id="0" name=""/>
            <xdr:cNvSpPr>
              <a:spLocks noTextEdit="1"/>
            </xdr:cNvSpPr>
          </xdr:nvSpPr>
          <xdr:spPr>
            <a:xfrm>
              <a:off x="12700" y="1247707"/>
              <a:ext cx="24257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12700</xdr:colOff>
      <xdr:row>17</xdr:row>
      <xdr:rowOff>165100</xdr:rowOff>
    </xdr:from>
    <xdr:ext cx="2425700" cy="939800"/>
    <mc:AlternateContent xmlns:mc="http://schemas.openxmlformats.org/markup-compatibility/2006" xmlns:a14="http://schemas.microsoft.com/office/drawing/2010/main">
      <mc:Choice Requires="a14">
        <xdr:graphicFrame macro="">
          <xdr:nvGraphicFramePr>
            <xdr:cNvPr id="19" name="حالة التسليم 1">
              <a:extLst>
                <a:ext uri="{FF2B5EF4-FFF2-40B4-BE49-F238E27FC236}">
                  <a16:creationId xmlns:a16="http://schemas.microsoft.com/office/drawing/2014/main" id="{BEA651E6-AF3D-4285-9C8C-B4E846F7B04B}"/>
                </a:ext>
              </a:extLst>
            </xdr:cNvPr>
            <xdr:cNvGraphicFramePr/>
          </xdr:nvGraphicFramePr>
          <xdr:xfrm>
            <a:off x="0" y="0"/>
            <a:ext cx="0" cy="0"/>
          </xdr:xfrm>
          <a:graphic>
            <a:graphicData uri="http://schemas.microsoft.com/office/drawing/2010/slicer">
              <sle:slicer xmlns:sle="http://schemas.microsoft.com/office/drawing/2010/slicer" name="حالة التسليم 1"/>
            </a:graphicData>
          </a:graphic>
        </xdr:graphicFrame>
      </mc:Choice>
      <mc:Fallback xmlns="">
        <xdr:sp macro="" textlink="">
          <xdr:nvSpPr>
            <xdr:cNvPr id="0" name=""/>
            <xdr:cNvSpPr>
              <a:spLocks noTextEdit="1"/>
            </xdr:cNvSpPr>
          </xdr:nvSpPr>
          <xdr:spPr>
            <a:xfrm>
              <a:off x="12700" y="4051300"/>
              <a:ext cx="24257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104776</xdr:colOff>
      <xdr:row>0</xdr:row>
      <xdr:rowOff>47625</xdr:rowOff>
    </xdr:from>
    <xdr:ext cx="2305049" cy="1114717"/>
    <xdr:pic>
      <xdr:nvPicPr>
        <xdr:cNvPr id="20" name="Picture 19">
          <a:hlinkClick xmlns:r="http://schemas.openxmlformats.org/officeDocument/2006/relationships" r:id="rId5"/>
          <a:extLst>
            <a:ext uri="{FF2B5EF4-FFF2-40B4-BE49-F238E27FC236}">
              <a16:creationId xmlns:a16="http://schemas.microsoft.com/office/drawing/2014/main" id="{DC7C334A-35DA-4D7C-9ABC-7C733A3ECA95}"/>
            </a:ext>
          </a:extLst>
        </xdr:cNvPr>
        <xdr:cNvPicPr>
          <a:picLocks noChangeAspect="1"/>
        </xdr:cNvPicPr>
      </xdr:nvPicPr>
      <xdr:blipFill>
        <a:blip xmlns:r="http://schemas.openxmlformats.org/officeDocument/2006/relationships" r:embed="rId6"/>
        <a:stretch>
          <a:fillRect/>
        </a:stretch>
      </xdr:blipFill>
      <xdr:spPr>
        <a:xfrm>
          <a:off x="104776" y="47625"/>
          <a:ext cx="2305049" cy="1114717"/>
        </a:xfrm>
        <a:prstGeom prst="rect">
          <a:avLst/>
        </a:prstGeom>
        <a:solidFill>
          <a:srgbClr val="2563EB"/>
        </a:solidFill>
        <a:ln w="12700" cap="flat" cmpd="sng" algn="ctr">
          <a:solidFill>
            <a:srgbClr val="2563EB"/>
          </a:solidFill>
          <a:prstDash val="solid"/>
          <a:miter lim="800000"/>
        </a:ln>
        <a:effectLst/>
      </xdr:spPr>
    </xdr:pic>
    <xdr:clientData/>
  </xdr:oneCellAnchor>
  <xdr:twoCellAnchor>
    <xdr:from>
      <xdr:col>5</xdr:col>
      <xdr:colOff>196985</xdr:colOff>
      <xdr:row>2</xdr:row>
      <xdr:rowOff>156183</xdr:rowOff>
    </xdr:from>
    <xdr:to>
      <xdr:col>8</xdr:col>
      <xdr:colOff>338036</xdr:colOff>
      <xdr:row>2</xdr:row>
      <xdr:rowOff>194283</xdr:rowOff>
    </xdr:to>
    <xdr:sp macro="" textlink="">
      <xdr:nvSpPr>
        <xdr:cNvPr id="28" name="MISUO_KPI_Accent_RR2">
          <a:extLst>
            <a:ext uri="{FF2B5EF4-FFF2-40B4-BE49-F238E27FC236}">
              <a16:creationId xmlns:a16="http://schemas.microsoft.com/office/drawing/2014/main" id="{0AB7E480-8481-49E6-9F4B-5D7F9FEED5A4}"/>
            </a:ext>
          </a:extLst>
        </xdr:cNvPr>
        <xdr:cNvSpPr/>
      </xdr:nvSpPr>
      <xdr:spPr>
        <a:xfrm>
          <a:off x="2628900" y="622300"/>
          <a:ext cx="1600200" cy="38100"/>
        </a:xfrm>
        <a:prstGeom prst="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9</xdr:col>
      <xdr:colOff>258053</xdr:colOff>
      <xdr:row>2</xdr:row>
      <xdr:rowOff>156183</xdr:rowOff>
    </xdr:from>
    <xdr:to>
      <xdr:col>12</xdr:col>
      <xdr:colOff>399104</xdr:colOff>
      <xdr:row>2</xdr:row>
      <xdr:rowOff>194283</xdr:rowOff>
    </xdr:to>
    <xdr:sp macro="" textlink="">
      <xdr:nvSpPr>
        <xdr:cNvPr id="29" name="MISUO_KPI_Accent_RR3">
          <a:extLst>
            <a:ext uri="{FF2B5EF4-FFF2-40B4-BE49-F238E27FC236}">
              <a16:creationId xmlns:a16="http://schemas.microsoft.com/office/drawing/2014/main" id="{5CCC4D3C-823E-4448-851D-325211948835}"/>
            </a:ext>
          </a:extLst>
        </xdr:cNvPr>
        <xdr:cNvSpPr/>
      </xdr:nvSpPr>
      <xdr:spPr>
        <a:xfrm>
          <a:off x="4635500" y="622300"/>
          <a:ext cx="1600200" cy="38100"/>
        </a:xfrm>
        <a:prstGeom prst="rect">
          <a:avLst/>
        </a:prstGeom>
        <a:solidFill>
          <a:srgbClr val="14B8A6"/>
        </a:solidFill>
        <a:ln w="12700" cap="flat" cmpd="sng" algn="ctr">
          <a:solidFill>
            <a:srgbClr val="14B8A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306421</xdr:colOff>
      <xdr:row>2</xdr:row>
      <xdr:rowOff>156183</xdr:rowOff>
    </xdr:from>
    <xdr:to>
      <xdr:col>16</xdr:col>
      <xdr:colOff>447472</xdr:colOff>
      <xdr:row>2</xdr:row>
      <xdr:rowOff>194283</xdr:rowOff>
    </xdr:to>
    <xdr:sp macro="" textlink="">
      <xdr:nvSpPr>
        <xdr:cNvPr id="30" name="MISUO_KPI_Accent_RR4">
          <a:extLst>
            <a:ext uri="{FF2B5EF4-FFF2-40B4-BE49-F238E27FC236}">
              <a16:creationId xmlns:a16="http://schemas.microsoft.com/office/drawing/2014/main" id="{3EC12190-0690-4503-BBE4-89337C16B985}"/>
            </a:ext>
          </a:extLst>
        </xdr:cNvPr>
        <xdr:cNvSpPr/>
      </xdr:nvSpPr>
      <xdr:spPr>
        <a:xfrm>
          <a:off x="6629400" y="622300"/>
          <a:ext cx="1600200" cy="38100"/>
        </a:xfrm>
        <a:prstGeom prst="rect">
          <a:avLst/>
        </a:prstGeom>
        <a:solidFill>
          <a:srgbClr val="F97316"/>
        </a:solidFill>
        <a:ln w="12700" cap="flat" cmpd="sng" algn="ctr">
          <a:solidFill>
            <a:srgbClr val="F9731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17</xdr:col>
      <xdr:colOff>329389</xdr:colOff>
      <xdr:row>2</xdr:row>
      <xdr:rowOff>156183</xdr:rowOff>
    </xdr:from>
    <xdr:to>
      <xdr:col>20</xdr:col>
      <xdr:colOff>470440</xdr:colOff>
      <xdr:row>2</xdr:row>
      <xdr:rowOff>194283</xdr:rowOff>
    </xdr:to>
    <xdr:sp macro="" textlink="">
      <xdr:nvSpPr>
        <xdr:cNvPr id="31" name="MISUO_KPI_Accent_RR7">
          <a:extLst>
            <a:ext uri="{FF2B5EF4-FFF2-40B4-BE49-F238E27FC236}">
              <a16:creationId xmlns:a16="http://schemas.microsoft.com/office/drawing/2014/main" id="{4609DDCE-BE15-4B4F-AEB5-E4980A3CD6EC}"/>
            </a:ext>
          </a:extLst>
        </xdr:cNvPr>
        <xdr:cNvSpPr/>
      </xdr:nvSpPr>
      <xdr:spPr>
        <a:xfrm>
          <a:off x="8597900" y="622300"/>
          <a:ext cx="1600200" cy="38100"/>
        </a:xfrm>
        <a:prstGeom prst="rect">
          <a:avLst/>
        </a:prstGeom>
        <a:solidFill>
          <a:srgbClr val="14B8A6"/>
        </a:solidFill>
        <a:ln w="12700" cap="flat" cmpd="sng" algn="ctr">
          <a:solidFill>
            <a:srgbClr val="14B8A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21</xdr:col>
      <xdr:colOff>339657</xdr:colOff>
      <xdr:row>2</xdr:row>
      <xdr:rowOff>156183</xdr:rowOff>
    </xdr:from>
    <xdr:to>
      <xdr:col>24</xdr:col>
      <xdr:colOff>480709</xdr:colOff>
      <xdr:row>2</xdr:row>
      <xdr:rowOff>194283</xdr:rowOff>
    </xdr:to>
    <xdr:sp macro="" textlink="">
      <xdr:nvSpPr>
        <xdr:cNvPr id="32" name="MISUO_KPI_Accent_RR6">
          <a:extLst>
            <a:ext uri="{FF2B5EF4-FFF2-40B4-BE49-F238E27FC236}">
              <a16:creationId xmlns:a16="http://schemas.microsoft.com/office/drawing/2014/main" id="{ACD77C60-AD8E-4E90-B829-DBAF92420B46}"/>
            </a:ext>
          </a:extLst>
        </xdr:cNvPr>
        <xdr:cNvSpPr/>
      </xdr:nvSpPr>
      <xdr:spPr>
        <a:xfrm>
          <a:off x="10553700" y="622300"/>
          <a:ext cx="1600200" cy="38100"/>
        </a:xfrm>
        <a:prstGeom prst="rect">
          <a:avLst/>
        </a:prstGeom>
        <a:solidFill>
          <a:srgbClr val="2563EB"/>
        </a:solidFill>
        <a:ln w="12700" cap="flat" cmpd="sng" algn="ctr">
          <a:solidFill>
            <a:srgbClr val="2563EB"/>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21</xdr:col>
      <xdr:colOff>339657</xdr:colOff>
      <xdr:row>6</xdr:row>
      <xdr:rowOff>24049</xdr:rowOff>
    </xdr:from>
    <xdr:to>
      <xdr:col>24</xdr:col>
      <xdr:colOff>480709</xdr:colOff>
      <xdr:row>6</xdr:row>
      <xdr:rowOff>62149</xdr:rowOff>
    </xdr:to>
    <xdr:sp macro="" textlink="">
      <xdr:nvSpPr>
        <xdr:cNvPr id="33" name="MISUO_KPI_Accent_RR5">
          <a:extLst>
            <a:ext uri="{FF2B5EF4-FFF2-40B4-BE49-F238E27FC236}">
              <a16:creationId xmlns:a16="http://schemas.microsoft.com/office/drawing/2014/main" id="{FB9F05CA-853F-4581-B67B-A0BCA9F2DF97}"/>
            </a:ext>
          </a:extLst>
        </xdr:cNvPr>
        <xdr:cNvSpPr/>
      </xdr:nvSpPr>
      <xdr:spPr>
        <a:xfrm>
          <a:off x="10553700" y="1422400"/>
          <a:ext cx="1600200" cy="38100"/>
        </a:xfrm>
        <a:prstGeom prst="rect">
          <a:avLst/>
        </a:prstGeom>
        <a:solidFill>
          <a:srgbClr val="22C55E"/>
        </a:solidFill>
        <a:ln w="12700" cap="flat" cmpd="sng" algn="ctr">
          <a:solidFill>
            <a:srgbClr val="22C55E"/>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6BDB0211"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l Mimi" refreshedDate="46168.767929166665" createdVersion="8" refreshedVersion="8" minRefreshableVersion="3" recordCount="126" xr:uid="{481FBDBE-F6C2-4D33-9D36-5FBFE0ACE7F3}">
  <cacheSource type="worksheet">
    <worksheetSource name="table" r:id="rId2"/>
  </cacheSource>
  <cacheFields count="22">
    <cacheField name="أسم العميل" numFmtId="0">
      <sharedItems/>
    </cacheField>
    <cacheField name="نوع العميل" numFmtId="0">
      <sharedItems count="2">
        <s v="افراد"/>
        <s v="شركات"/>
      </sharedItems>
    </cacheField>
    <cacheField name="العنوان" numFmtId="0">
      <sharedItems containsBlank="1"/>
    </cacheField>
    <cacheField name="المحافظه" numFmtId="0">
      <sharedItems containsBlank="1" count="9">
        <s v="الجيزة"/>
        <s v="الإسكندرية"/>
        <s v="مطروح"/>
        <s v="البحر الأحمر"/>
        <m/>
        <s v="القاهره"/>
        <s v="القليوبية"/>
        <s v="أسيوط"/>
        <s v="السويس"/>
      </sharedItems>
    </cacheField>
    <cacheField name="منصة البيع " numFmtId="0">
      <sharedItems count="12">
        <s v="هومزمارت"/>
        <s v="شيك هومز "/>
        <s v="فيسبوك"/>
        <s v="تاكى"/>
        <s v="اوسكار راتن "/>
        <s v="السويس"/>
        <s v="منزلى "/>
        <s v="كيمت "/>
        <s v="تاكى " u="1"/>
        <s v="شيك هومز" u="1"/>
        <s v="منزلى" u="1"/>
        <s v="هومزمارت " u="1"/>
      </sharedItems>
    </cacheField>
    <cacheField name="الصنف" numFmtId="0">
      <sharedItems count="6">
        <s v="سرير"/>
        <s v="ترابيزه"/>
        <s v="ركنه"/>
        <s v="كنبه"/>
        <s v="فوتيه"/>
        <s v="شيزلونج"/>
      </sharedItems>
    </cacheField>
    <cacheField name="نوع الصنف" numFmtId="0">
      <sharedItems/>
    </cacheField>
    <cacheField name="الاسم" numFmtId="0">
      <sharedItems/>
    </cacheField>
    <cacheField name="  المقاس" numFmtId="2">
      <sharedItems/>
    </cacheField>
    <cacheField name="اللون المعدن" numFmtId="0">
      <sharedItems containsBlank="1" count="14">
        <s v="ابيض"/>
        <s v="اسود"/>
        <s v="ازرق"/>
        <m/>
        <s v="رمادى"/>
        <s v="دهبي"/>
        <s v="بنفسجى"/>
        <s v="اسود وبنى"/>
        <s v="اسود "/>
        <s v="ملون"/>
        <s v="اسزد"/>
        <s v="بينك"/>
        <s v="نبيتى "/>
        <s v="الوان"/>
      </sharedItems>
    </cacheField>
    <cacheField name="        لون القماش" numFmtId="0">
      <sharedItems/>
    </cacheField>
    <cacheField name="المنتج" numFmtId="0">
      <sharedItems/>
    </cacheField>
    <cacheField name="سعر البيع " numFmtId="1">
      <sharedItems containsSemiMixedTypes="0" containsString="0" containsNumber="1" minValue="4020" maxValue="22000" count="75">
        <n v="10160"/>
        <n v="11455"/>
        <n v="8642"/>
        <n v="12833"/>
        <n v="14550"/>
        <n v="12000"/>
        <n v="7228"/>
        <n v="22000"/>
        <n v="16000"/>
        <n v="6000"/>
        <n v="10499"/>
        <n v="7295"/>
        <n v="7849"/>
        <n v="6180"/>
        <n v="11199"/>
        <n v="7987"/>
        <n v="9300"/>
        <n v="8849"/>
        <n v="10987"/>
        <n v="9208"/>
        <n v="4020"/>
        <n v="9399"/>
        <n v="8349"/>
        <n v="9450"/>
        <n v="7460"/>
        <n v="9528"/>
        <n v="12999"/>
        <n v="5999"/>
        <n v="11949"/>
        <n v="16599"/>
        <n v="10999"/>
        <n v="13099"/>
        <n v="13849"/>
        <n v="21999"/>
        <n v="17249"/>
        <n v="11817"/>
        <n v="17886"/>
        <n v="10319"/>
        <n v="12399"/>
        <n v="5074"/>
        <n v="6250"/>
        <n v="8943"/>
        <n v="14950"/>
        <n v="7433"/>
        <n v="8544.9054400000005"/>
        <n v="4600"/>
        <n v="10000"/>
        <n v="10249"/>
        <n v="8899"/>
        <n v="12899"/>
        <n v="5135"/>
        <n v="12777.5"/>
        <n v="8544.91"/>
        <n v="15516"/>
        <n v="10045"/>
        <n v="11649"/>
        <n v="5100"/>
        <n v="5300"/>
        <n v="12099"/>
        <n v="15872"/>
        <n v="4520"/>
        <n v="5766"/>
        <n v="11395"/>
        <n v="12919"/>
        <n v="6376"/>
        <n v="5294"/>
        <n v="7396"/>
        <n v="13439"/>
        <n v="10885"/>
        <n v="8449"/>
        <n v="14905"/>
        <n v="9029"/>
        <n v="5217"/>
        <n v="10445"/>
        <n v="8700"/>
      </sharedItems>
    </cacheField>
    <cacheField name="طريقة الدفع" numFmtId="0">
      <sharedItems containsMixedTypes="1" containsNumber="1" containsInteger="1" minValue="0" maxValue="0"/>
    </cacheField>
    <cacheField name="مدة التسليم (الهدف)" numFmtId="0">
      <sharedItems containsSemiMixedTypes="0" containsString="0" containsNumber="1" containsInteger="1" minValue="0" maxValue="67"/>
    </cacheField>
    <cacheField name="مدة التسليم (الفعليه)" numFmtId="0">
      <sharedItems containsSemiMixedTypes="0" containsString="0" containsNumber="1" containsInteger="1" minValue="0" maxValue="59"/>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حالة التسليم" numFmtId="14">
      <sharedItems count="3">
        <s v="لم يسلم"/>
        <s v="تم التسليم في الموعد"/>
        <s v="متأخر"/>
      </sharedItems>
    </cacheField>
    <cacheField name="المسئول عن التسليم" numFmtId="0">
      <sharedItems containsBlank="1"/>
    </cacheField>
    <cacheField name="الحالة" numFmtId="0">
      <sharedItems count="4">
        <s v="تم التسليم"/>
        <s v="مرفوض "/>
        <s v="مرتجع"/>
        <s v="تم التسليم " u="1"/>
      </sharedItems>
    </cacheField>
  </cacheFields>
  <extLst>
    <ext xmlns:x14="http://schemas.microsoft.com/office/spreadsheetml/2009/9/main" uri="{725AE2AE-9491-48be-B2B4-4EB974FC3084}">
      <x14:pivotCacheDefinition pivotCacheId="1259770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x v="0"/>
    <s v="العجوزه - الجيزه"/>
    <x v="0"/>
    <x v="0"/>
    <x v="0"/>
    <s v="منطبق"/>
    <s v="منطبق"/>
    <s v="غير معروف"/>
    <x v="0"/>
    <s v="ابيض"/>
    <s v="سرير منطبق الحديد ابيض والقماش ابيض "/>
    <x v="0"/>
    <s v="مسبق الدفع"/>
    <n v="0"/>
    <n v="14"/>
    <d v="2024-07-27T00:00:00"/>
    <m/>
    <d v="2024-08-10T00:00:00"/>
    <x v="0"/>
    <s v="شركه شحن "/>
    <x v="0"/>
  </r>
  <r>
    <s v="محمود"/>
    <x v="0"/>
    <s v="سموحه - اسكندريه"/>
    <x v="1"/>
    <x v="0"/>
    <x v="0"/>
    <s v="منطبق"/>
    <s v="منطبق"/>
    <s v="غير معروف"/>
    <x v="1"/>
    <s v="اسود"/>
    <s v="سرير منطبق اسود والقماش اسود "/>
    <x v="0"/>
    <s v="كاش"/>
    <n v="0"/>
    <n v="14"/>
    <d v="2024-07-28T00:00:00"/>
    <m/>
    <d v="2024-08-11T00:00:00"/>
    <x v="0"/>
    <s v="شركه شحن "/>
    <x v="0"/>
  </r>
  <r>
    <s v="سعيد"/>
    <x v="0"/>
    <s v="سيدى عبد الرحمن - الساحل الشمالى "/>
    <x v="2"/>
    <x v="0"/>
    <x v="0"/>
    <s v="اخري"/>
    <s v="كيفنج"/>
    <s v="٩٠"/>
    <x v="2"/>
    <s v="ازرق"/>
    <s v="سرير كيفينج مقاس 90 لون ازرق "/>
    <x v="1"/>
    <s v="كاش"/>
    <n v="0"/>
    <n v="0"/>
    <d v="2024-07-27T00:00:00"/>
    <m/>
    <m/>
    <x v="0"/>
    <m/>
    <x v="1"/>
  </r>
  <r>
    <s v="ساندرا"/>
    <x v="0"/>
    <s v="الغردقه "/>
    <x v="3"/>
    <x v="0"/>
    <x v="1"/>
    <s v="متحركه"/>
    <s v="اخري"/>
    <s v="غير معروف"/>
    <x v="3"/>
    <s v="غير معروف"/>
    <s v="ترابيزه قهوه متحركه "/>
    <x v="2"/>
    <s v="مسبق الدفع"/>
    <n v="13"/>
    <n v="2"/>
    <d v="2024-08-25T00:00:00"/>
    <d v="2024-09-07T00:00:00"/>
    <d v="2024-08-27T00:00:00"/>
    <x v="1"/>
    <s v="شركه شحن "/>
    <x v="0"/>
  </r>
  <r>
    <s v="زينا"/>
    <x v="0"/>
    <s v="سيدى عبد الرحمن - الساحل الشمالى "/>
    <x v="2"/>
    <x v="0"/>
    <x v="0"/>
    <s v="اخري"/>
    <s v="نوفال"/>
    <s v="متر"/>
    <x v="4"/>
    <s v="رمادى"/>
    <s v="سرير نوفال متر رمادى "/>
    <x v="3"/>
    <s v="كاش"/>
    <n v="15"/>
    <n v="0"/>
    <d v="2024-08-16T00:00:00"/>
    <d v="2024-08-31T00:00:00"/>
    <m/>
    <x v="0"/>
    <m/>
    <x v="1"/>
  </r>
  <r>
    <s v="شيك هومز"/>
    <x v="1"/>
    <m/>
    <x v="4"/>
    <x v="1"/>
    <x v="0"/>
    <s v="اخري"/>
    <s v="اخري"/>
    <s v="غير معروف"/>
    <x v="4"/>
    <s v="رمادى"/>
    <s v="كنبه سرير رمادى "/>
    <x v="4"/>
    <s v="مسبق الدفع"/>
    <n v="20"/>
    <n v="22"/>
    <d v="2024-08-14T00:00:00"/>
    <d v="2024-09-03T00:00:00"/>
    <d v="2024-09-05T00:00:00"/>
    <x v="2"/>
    <s v="شركه شحن "/>
    <x v="0"/>
  </r>
  <r>
    <s v="احمد"/>
    <x v="0"/>
    <s v="التجمع الخامس"/>
    <x v="5"/>
    <x v="2"/>
    <x v="0"/>
    <s v="اخري"/>
    <s v="اخري"/>
    <s v="غير معروف"/>
    <x v="4"/>
    <s v="رمادى"/>
    <s v="كنبه سرير رمادى "/>
    <x v="5"/>
    <s v="كاش"/>
    <n v="3"/>
    <n v="2"/>
    <d v="2024-08-17T00:00:00"/>
    <d v="2024-08-20T00:00:00"/>
    <d v="2024-08-19T00:00:00"/>
    <x v="1"/>
    <s v="شركه شحن "/>
    <x v="0"/>
  </r>
  <r>
    <s v="yilmaz"/>
    <x v="0"/>
    <s v="٦ اكتوبر الجيزه "/>
    <x v="0"/>
    <x v="0"/>
    <x v="0"/>
    <s v="فردي"/>
    <s v="اخري"/>
    <s v="غير معروف"/>
    <x v="0"/>
    <s v="ابيض"/>
    <s v="سرير فردى ابيض "/>
    <x v="6"/>
    <s v="مسبق الدفع"/>
    <n v="9"/>
    <n v="16"/>
    <d v="2024-08-25T00:00:00"/>
    <d v="2024-09-03T00:00:00"/>
    <d v="2024-09-10T00:00:00"/>
    <x v="2"/>
    <s v="شركه شحن "/>
    <x v="0"/>
  </r>
  <r>
    <s v="تاكى"/>
    <x v="1"/>
    <s v="العباسيه"/>
    <x v="5"/>
    <x v="3"/>
    <x v="2"/>
    <s v="ركنه بسرير"/>
    <s v="اخري"/>
    <s v="غير معروف"/>
    <x v="3"/>
    <s v="غير معروف"/>
    <s v="ركنة بسرير"/>
    <x v="7"/>
    <s v="كاش"/>
    <n v="13"/>
    <n v="29"/>
    <d v="2024-08-19T00:00:00"/>
    <d v="2024-09-01T00:00:00"/>
    <d v="2024-09-17T00:00:00"/>
    <x v="2"/>
    <m/>
    <x v="0"/>
  </r>
  <r>
    <s v="تاكى"/>
    <x v="1"/>
    <s v="العباسيه"/>
    <x v="5"/>
    <x v="3"/>
    <x v="3"/>
    <s v="سحاره"/>
    <s v="اخري"/>
    <s v="غير معروف"/>
    <x v="3"/>
    <s v="غير معروف"/>
    <s v="٢ كنبه سحاره بمخدع"/>
    <x v="8"/>
    <s v="كاش"/>
    <n v="0"/>
    <n v="0"/>
    <m/>
    <m/>
    <m/>
    <x v="0"/>
    <m/>
    <x v="1"/>
  </r>
  <r>
    <s v="تاكى"/>
    <x v="1"/>
    <s v="العباسيه "/>
    <x v="5"/>
    <x v="3"/>
    <x v="3"/>
    <s v="سحاره"/>
    <s v="اخري"/>
    <s v="غير معروف"/>
    <x v="3"/>
    <s v="غير معروف"/>
    <s v="٢ كنبه سحاره بدون مخدع "/>
    <x v="9"/>
    <s v="كاش"/>
    <n v="21"/>
    <n v="23"/>
    <d v="2024-08-25T00:00:00"/>
    <d v="2024-09-15T00:00:00"/>
    <d v="2024-09-17T00:00:00"/>
    <x v="2"/>
    <s v="محمود على "/>
    <x v="0"/>
  </r>
  <r>
    <s v="تاكى"/>
    <x v="1"/>
    <s v="العباسيه "/>
    <x v="5"/>
    <x v="3"/>
    <x v="3"/>
    <s v="سحاره"/>
    <s v="اخري"/>
    <s v="غير معروف"/>
    <x v="3"/>
    <s v="غير معروف"/>
    <s v="٢ كنبه سحاره بدون مخدع "/>
    <x v="9"/>
    <s v="كاش"/>
    <n v="21"/>
    <n v="23"/>
    <d v="2024-08-25T00:00:00"/>
    <d v="2024-09-15T00:00:00"/>
    <d v="2024-09-17T00:00:00"/>
    <x v="2"/>
    <s v="محمود على "/>
    <x v="0"/>
  </r>
  <r>
    <s v="على رشوان"/>
    <x v="0"/>
    <s v="مصر الجديده"/>
    <x v="5"/>
    <x v="0"/>
    <x v="0"/>
    <s v="اخري"/>
    <s v="نوفال"/>
    <s v="٨٠"/>
    <x v="0"/>
    <s v="ابيض"/>
    <s v="سرير نوفال ابيض مقاس ٨٠"/>
    <x v="10"/>
    <s v="كاش"/>
    <n v="15"/>
    <n v="7"/>
    <d v="2024-09-01T00:00:00"/>
    <d v="2024-09-16T00:00:00"/>
    <d v="2024-09-08T00:00:00"/>
    <x v="1"/>
    <s v="شركه شحن "/>
    <x v="0"/>
  </r>
  <r>
    <s v="احمد فخرى"/>
    <x v="0"/>
    <s v="٦ اكتوبر الجيزه "/>
    <x v="0"/>
    <x v="0"/>
    <x v="0"/>
    <s v="فردي"/>
    <s v="اخري"/>
    <s v="٨٠"/>
    <x v="0"/>
    <s v="ابيض"/>
    <s v="سرير فردى خشب موسكى الحديد ابيض مقاس ٨٠"/>
    <x v="11"/>
    <s v="كاش"/>
    <n v="9"/>
    <n v="0"/>
    <d v="2024-09-05T00:00:00"/>
    <d v="2024-09-14T00:00:00"/>
    <m/>
    <x v="0"/>
    <m/>
    <x v="1"/>
  </r>
  <r>
    <s v="لينا"/>
    <x v="0"/>
    <s v="المقطم "/>
    <x v="5"/>
    <x v="0"/>
    <x v="1"/>
    <s v="اخري"/>
    <s v="اخري"/>
    <s v="غير معروف"/>
    <x v="3"/>
    <s v="غير معروف"/>
    <s v="ترابيزه قهوه علويه جديده "/>
    <x v="12"/>
    <s v="مسبق الدفع"/>
    <n v="12"/>
    <n v="21"/>
    <d v="2024-09-04T00:00:00"/>
    <d v="2024-09-16T00:00:00"/>
    <d v="2024-09-25T00:00:00"/>
    <x v="2"/>
    <s v="شركه شحن "/>
    <x v="2"/>
  </r>
  <r>
    <s v="فيصل نعيم"/>
    <x v="0"/>
    <s v="التجمع الخامس "/>
    <x v="5"/>
    <x v="4"/>
    <x v="0"/>
    <s v="اخري"/>
    <s v="كيفنج"/>
    <s v="١٢٠"/>
    <x v="1"/>
    <s v="اسود"/>
    <s v="٢ سرير كيفنج ١٢٠ اسود "/>
    <x v="13"/>
    <s v="كاش"/>
    <n v="13"/>
    <n v="12"/>
    <d v="2024-09-03T00:00:00"/>
    <d v="2024-09-16T00:00:00"/>
    <d v="2024-09-15T00:00:00"/>
    <x v="1"/>
    <s v="محمود على "/>
    <x v="0"/>
  </r>
  <r>
    <s v="فيصل نعيم"/>
    <x v="0"/>
    <s v="التجمع الخامس "/>
    <x v="5"/>
    <x v="4"/>
    <x v="0"/>
    <s v="اخري"/>
    <s v="كيفنج"/>
    <s v="١٢٠"/>
    <x v="1"/>
    <s v="اسود"/>
    <s v="٢ سرير كيفنج ١٢٠ اسود "/>
    <x v="13"/>
    <s v="كاش"/>
    <n v="13"/>
    <n v="12"/>
    <d v="2024-09-03T00:00:00"/>
    <d v="2024-09-16T00:00:00"/>
    <d v="2024-09-15T00:00:00"/>
    <x v="1"/>
    <s v="محمود على "/>
    <x v="0"/>
  </r>
  <r>
    <s v="ellho elkafy"/>
    <x v="0"/>
    <s v="مدينه نصر "/>
    <x v="5"/>
    <x v="0"/>
    <x v="0"/>
    <s v="اخري"/>
    <s v="كينج"/>
    <s v="٨٠"/>
    <x v="0"/>
    <s v="ابيض"/>
    <s v="سرير كينج ابيض مقاس ٨٠ التصميم الجديد "/>
    <x v="14"/>
    <s v="كاش"/>
    <n v="14"/>
    <n v="0"/>
    <d v="2024-09-04T00:00:00"/>
    <d v="2024-09-18T00:00:00"/>
    <m/>
    <x v="0"/>
    <m/>
    <x v="1"/>
  </r>
  <r>
    <s v="احمد"/>
    <x v="0"/>
    <s v="القاهره الجديده"/>
    <x v="5"/>
    <x v="0"/>
    <x v="0"/>
    <s v="فردي"/>
    <s v="اخري"/>
    <s v="٨٠"/>
    <x v="0"/>
    <s v="ابيض"/>
    <s v="٤سرير فردى خشب موسكى الحديد ابيض مقاس ٨٠"/>
    <x v="15"/>
    <s v="مسبق الدفع"/>
    <n v="10"/>
    <n v="15"/>
    <d v="2024-09-06T00:00:00"/>
    <d v="2024-09-16T00:00:00"/>
    <d v="2024-09-21T00:00:00"/>
    <x v="2"/>
    <s v="محمود على "/>
    <x v="0"/>
  </r>
  <r>
    <s v="تاكى"/>
    <x v="1"/>
    <s v="العباسيه"/>
    <x v="5"/>
    <x v="3"/>
    <x v="4"/>
    <s v="فنيسيا"/>
    <s v="فنيسيا"/>
    <s v="غير معروف"/>
    <x v="3"/>
    <s v="غير معروف"/>
    <s v="٢ فوتيه فنيسيا "/>
    <x v="16"/>
    <s v="كاش"/>
    <n v="11"/>
    <n v="13"/>
    <d v="2024-09-04T00:00:00"/>
    <d v="2024-09-15T00:00:00"/>
    <d v="2024-09-17T00:00:00"/>
    <x v="2"/>
    <s v="محمود على "/>
    <x v="0"/>
  </r>
  <r>
    <s v="احمد"/>
    <x v="0"/>
    <s v="القاهره الجديده"/>
    <x v="5"/>
    <x v="0"/>
    <x v="0"/>
    <s v="فردي"/>
    <s v="اخري"/>
    <s v="٨٠"/>
    <x v="0"/>
    <s v="ابيض"/>
    <s v="٤سرير فردى خشب موسكى الحديد ابيض مقاس ٨٠"/>
    <x v="15"/>
    <s v="مسبق الدفع"/>
    <n v="10"/>
    <n v="15"/>
    <d v="2024-09-06T00:00:00"/>
    <d v="2024-09-16T00:00:00"/>
    <d v="2024-09-21T00:00:00"/>
    <x v="2"/>
    <s v="محمود على "/>
    <x v="0"/>
  </r>
  <r>
    <s v="احمد"/>
    <x v="0"/>
    <s v="القاهره الجديده"/>
    <x v="5"/>
    <x v="0"/>
    <x v="0"/>
    <s v="فردي"/>
    <s v="اخري"/>
    <s v="٨٠"/>
    <x v="0"/>
    <s v="ابيض"/>
    <s v="٤سرير فردى خشب موسكى الحديد ابيض مقاس ٨٠"/>
    <x v="15"/>
    <s v="مسبق الدفع"/>
    <n v="10"/>
    <n v="15"/>
    <d v="2024-09-06T00:00:00"/>
    <d v="2024-09-16T00:00:00"/>
    <d v="2024-09-21T00:00:00"/>
    <x v="2"/>
    <s v="محمود على "/>
    <x v="0"/>
  </r>
  <r>
    <s v="احمد"/>
    <x v="0"/>
    <s v="القاهره الجديده"/>
    <x v="5"/>
    <x v="0"/>
    <x v="0"/>
    <s v="فردي"/>
    <s v="اخري"/>
    <s v="٨٠"/>
    <x v="0"/>
    <s v="ابيض"/>
    <s v="٤سرير فردى خشب موسكى الحديد ابيض مقاس ٨٠"/>
    <x v="15"/>
    <s v="مسبق الدفع"/>
    <n v="10"/>
    <n v="15"/>
    <d v="2024-09-06T00:00:00"/>
    <d v="2024-09-16T00:00:00"/>
    <d v="2024-09-21T00:00:00"/>
    <x v="2"/>
    <s v="محمود على "/>
    <x v="0"/>
  </r>
  <r>
    <s v="صفاء"/>
    <x v="0"/>
    <s v="المعادى"/>
    <x v="5"/>
    <x v="0"/>
    <x v="1"/>
    <s v="اخري"/>
    <s v="اخري"/>
    <s v="غير معروف"/>
    <x v="3"/>
    <s v="غير معروف"/>
    <s v="ترابيزه قهوه علويه جديده "/>
    <x v="17"/>
    <s v="مسبق الدفع"/>
    <n v="43"/>
    <n v="0"/>
    <d v="2024-09-03T00:00:00"/>
    <d v="2024-10-16T00:00:00"/>
    <m/>
    <x v="0"/>
    <m/>
    <x v="1"/>
  </r>
  <r>
    <s v="حسن حازم"/>
    <x v="0"/>
    <s v="٦ اكتوبر الجيزه "/>
    <x v="0"/>
    <x v="0"/>
    <x v="0"/>
    <s v="اخري"/>
    <s v="اسبانى"/>
    <s v="١٢٠"/>
    <x v="0"/>
    <s v="ابيض"/>
    <s v="سرير اسبانى ابيض ١٢٠"/>
    <x v="18"/>
    <s v="مسبق الدفع"/>
    <n v="8"/>
    <n v="12"/>
    <d v="2024-09-09T00:00:00"/>
    <d v="2024-09-17T00:00:00"/>
    <d v="2024-09-21T00:00:00"/>
    <x v="2"/>
    <s v="محمود على "/>
    <x v="0"/>
  </r>
  <r>
    <s v="شيك هومز"/>
    <x v="1"/>
    <m/>
    <x v="4"/>
    <x v="1"/>
    <x v="0"/>
    <s v="اخري"/>
    <s v="كينج"/>
    <s v="غير معروف"/>
    <x v="0"/>
    <s v="ابيض"/>
    <s v="سرير كينج ابيض "/>
    <x v="19"/>
    <s v="كاش"/>
    <n v="18"/>
    <n v="20"/>
    <d v="2024-09-01T00:00:00"/>
    <d v="2024-09-19T00:00:00"/>
    <d v="2024-09-21T00:00:00"/>
    <x v="2"/>
    <s v="محمود على "/>
    <x v="0"/>
  </r>
  <r>
    <s v="شيك هومز"/>
    <x v="1"/>
    <m/>
    <x v="4"/>
    <x v="1"/>
    <x v="0"/>
    <s v="اخري"/>
    <s v="كينج"/>
    <s v="غير معروف"/>
    <x v="1"/>
    <s v="اسود"/>
    <s v="سرير كينج اسود "/>
    <x v="19"/>
    <s v="كاش"/>
    <n v="18"/>
    <n v="20"/>
    <d v="2024-09-01T00:00:00"/>
    <d v="2024-09-19T00:00:00"/>
    <d v="2024-09-21T00:00:00"/>
    <x v="2"/>
    <s v="محمود على "/>
    <x v="0"/>
  </r>
  <r>
    <s v="اوسكار راتن"/>
    <x v="1"/>
    <s v="مخزن اوسكار في القناطر "/>
    <x v="6"/>
    <x v="4"/>
    <x v="0"/>
    <s v="اخري"/>
    <s v="فورجينا"/>
    <s v="١٢٠"/>
    <x v="0"/>
    <s v="ابيض"/>
    <s v="٢ سريرفورجينا خشب موسكى ابيض مقاس ١٢٠"/>
    <x v="20"/>
    <s v="حساب شركه"/>
    <n v="9"/>
    <n v="10"/>
    <d v="2024-09-12T00:00:00"/>
    <d v="2024-09-21T00:00:00"/>
    <d v="2024-09-22T00:00:00"/>
    <x v="2"/>
    <s v="محمود على "/>
    <x v="0"/>
  </r>
  <r>
    <s v="اوسكار راتن"/>
    <x v="1"/>
    <s v="مخزن اوسكار في القناطر "/>
    <x v="6"/>
    <x v="4"/>
    <x v="0"/>
    <s v="اخري"/>
    <s v="فورجينا"/>
    <s v="١٢٠"/>
    <x v="0"/>
    <s v="ابيض"/>
    <s v="٢ سريرفورجينا خشب موسكى ابيض مقاس ١٢٠"/>
    <x v="20"/>
    <s v="حساب شركه"/>
    <n v="9"/>
    <n v="10"/>
    <d v="2024-09-12T00:00:00"/>
    <d v="2024-09-21T00:00:00"/>
    <d v="2024-09-22T00:00:00"/>
    <x v="2"/>
    <s v="محمود على "/>
    <x v="0"/>
  </r>
  <r>
    <s v="اوسكار راتن"/>
    <x v="1"/>
    <s v="مخزن اوسكار في القناطر "/>
    <x v="6"/>
    <x v="4"/>
    <x v="0"/>
    <s v="اخري"/>
    <s v="ارفيل"/>
    <s v="١٢٠"/>
    <x v="1"/>
    <s v="اسود"/>
    <s v="٢ سرير ارفيل ١٢٠ اسود "/>
    <x v="20"/>
    <s v="مسبق الدفع "/>
    <n v="9"/>
    <n v="10"/>
    <d v="2024-09-12T00:00:00"/>
    <d v="2024-09-21T00:00:00"/>
    <d v="2024-09-22T00:00:00"/>
    <x v="2"/>
    <s v="محمود على "/>
    <x v="0"/>
  </r>
  <r>
    <s v="اوسكار راتن"/>
    <x v="1"/>
    <s v="مخزن اوسكار في القناطر "/>
    <x v="6"/>
    <x v="4"/>
    <x v="0"/>
    <s v="اخري"/>
    <s v="ارفيل"/>
    <s v="١٢٠"/>
    <x v="1"/>
    <s v="اسود"/>
    <s v="٢ سرير ارفيل ١٢٠ اسود "/>
    <x v="20"/>
    <s v="مسبق الدفع "/>
    <n v="9"/>
    <n v="10"/>
    <d v="2024-09-12T00:00:00"/>
    <d v="2024-09-21T00:00:00"/>
    <d v="2024-09-22T00:00:00"/>
    <x v="2"/>
    <s v="محمود على "/>
    <x v="0"/>
  </r>
  <r>
    <s v="صفاء الحكيم"/>
    <x v="0"/>
    <s v="العين السخنه"/>
    <x v="3"/>
    <x v="0"/>
    <x v="0"/>
    <s v="منطبق"/>
    <s v="منطبق"/>
    <s v="غير معروف"/>
    <x v="1"/>
    <s v="اسود"/>
    <s v="سرير منطببق اسود وقماش اسود"/>
    <x v="21"/>
    <s v="مسبق الدفع "/>
    <n v="8"/>
    <n v="0"/>
    <d v="2024-09-14T00:00:00"/>
    <d v="2024-09-22T00:00:00"/>
    <m/>
    <x v="0"/>
    <m/>
    <x v="1"/>
  </r>
  <r>
    <s v="يوسف شناوى"/>
    <x v="0"/>
    <s v="الابراهيميه . الإسكندرية "/>
    <x v="1"/>
    <x v="0"/>
    <x v="1"/>
    <s v="رف سحاب"/>
    <s v="اخري"/>
    <s v="غير معروف"/>
    <x v="3"/>
    <s v="غير معروف"/>
    <s v="ترابيزه قهوه علويه برف سحاب "/>
    <x v="22"/>
    <s v="مسبق الدفع "/>
    <n v="8"/>
    <n v="10"/>
    <d v="2024-09-14T00:00:00"/>
    <d v="2024-09-22T00:00:00"/>
    <d v="2024-09-24T00:00:00"/>
    <x v="2"/>
    <s v="شركه شحن "/>
    <x v="0"/>
  </r>
  <r>
    <s v="حاتم العيسوي"/>
    <x v="0"/>
    <s v="٦ اكتوبر الجيزه "/>
    <x v="0"/>
    <x v="0"/>
    <x v="0"/>
    <s v="منطبق"/>
    <s v="منطبق"/>
    <s v="غير معروف"/>
    <x v="1"/>
    <s v="اسود"/>
    <s v="سرير منطبق اسود حديد وقماش"/>
    <x v="21"/>
    <s v="مسبق الدفع"/>
    <n v="11"/>
    <n v="17"/>
    <d v="2024-09-13T00:00:00"/>
    <d v="2024-09-24T00:00:00"/>
    <d v="2024-09-30T00:00:00"/>
    <x v="2"/>
    <s v="شركه شحن "/>
    <x v="0"/>
  </r>
  <r>
    <s v="رنا"/>
    <x v="0"/>
    <s v="القطاميه "/>
    <x v="5"/>
    <x v="0"/>
    <x v="1"/>
    <s v="اخري"/>
    <s v="اخري"/>
    <s v="غير معروف"/>
    <x v="3"/>
    <s v="غير معروف"/>
    <s v="ترابيزه قهوه علويه جديده "/>
    <x v="12"/>
    <s v="كاش"/>
    <n v="14"/>
    <n v="0"/>
    <d v="2024-09-12T00:00:00"/>
    <d v="2024-09-26T00:00:00"/>
    <m/>
    <x v="0"/>
    <s v="شركه شحن "/>
    <x v="0"/>
  </r>
  <r>
    <s v="عبير نور الدين"/>
    <x v="0"/>
    <s v="١٨ شارع البحيري بولاق الدكرور الجيزه "/>
    <x v="0"/>
    <x v="2"/>
    <x v="0"/>
    <s v="ثلاثة ادوار"/>
    <s v="اخري"/>
    <s v="١٠٠"/>
    <x v="1"/>
    <s v="اسود"/>
    <s v="سرير ٣ ادورا اسود مقاس ١٠٠ "/>
    <x v="23"/>
    <s v="كاش"/>
    <n v="14"/>
    <n v="0"/>
    <d v="2024-09-12T00:00:00"/>
    <d v="2024-09-26T00:00:00"/>
    <m/>
    <x v="0"/>
    <m/>
    <x v="1"/>
  </r>
  <r>
    <s v="اسراء ابو العنين"/>
    <x v="0"/>
    <s v="القاهره الجديده"/>
    <x v="5"/>
    <x v="0"/>
    <x v="0"/>
    <s v="اخري"/>
    <s v="اسبانى"/>
    <s v="١٢٠"/>
    <x v="1"/>
    <s v="اسود"/>
    <s v="سرير اسبانى اسود مقاس ١٢٠"/>
    <x v="24"/>
    <s v="مسبق الدفع"/>
    <n v="13"/>
    <n v="20"/>
    <d v="2024-09-13T00:00:00"/>
    <d v="2024-09-26T00:00:00"/>
    <d v="2024-10-03T00:00:00"/>
    <x v="2"/>
    <s v="محمود على "/>
    <x v="0"/>
  </r>
  <r>
    <s v="وائل صادق"/>
    <x v="0"/>
    <s v="القاهره الجديده"/>
    <x v="5"/>
    <x v="0"/>
    <x v="0"/>
    <s v="اخري"/>
    <s v="كوين"/>
    <s v="١٤٠"/>
    <x v="5"/>
    <s v="دهبي"/>
    <s v="سرير كوين مقاس ١٤٠ دهبي ورمادى "/>
    <x v="25"/>
    <s v="مسبق الدفع"/>
    <n v="13"/>
    <n v="20"/>
    <d v="2024-09-13T00:00:00"/>
    <d v="2024-09-26T00:00:00"/>
    <d v="2024-10-03T00:00:00"/>
    <x v="2"/>
    <s v="محمود على "/>
    <x v="0"/>
  </r>
  <r>
    <s v="حسن مغرب"/>
    <x v="0"/>
    <s v="٦ اكتوبر الجيزه "/>
    <x v="0"/>
    <x v="0"/>
    <x v="0"/>
    <s v="اخري"/>
    <s v="كيفنج"/>
    <s v="١٢٠"/>
    <x v="4"/>
    <s v="رمادى"/>
    <s v="سرير كيفنج ١٢٠ رمادى "/>
    <x v="26"/>
    <s v="مسبق الدفع"/>
    <n v="13"/>
    <n v="18"/>
    <d v="2024-09-14T00:00:00"/>
    <d v="2024-09-27T00:00:00"/>
    <d v="2024-10-02T00:00:00"/>
    <x v="2"/>
    <s v="محمود على "/>
    <x v="0"/>
  </r>
  <r>
    <s v="على السيد"/>
    <x v="0"/>
    <s v="الشروق القاهره "/>
    <x v="5"/>
    <x v="0"/>
    <x v="0"/>
    <s v="اخري"/>
    <s v="نوفال"/>
    <s v="٩٠"/>
    <x v="1"/>
    <s v="اسود"/>
    <s v="سرير نوفال  ٩٠ اسود "/>
    <x v="27"/>
    <s v="مسبق الدفع"/>
    <n v="17"/>
    <n v="0"/>
    <d v="2024-09-12T00:00:00"/>
    <d v="2024-09-29T00:00:00"/>
    <m/>
    <x v="0"/>
    <m/>
    <x v="1"/>
  </r>
  <r>
    <s v="هشام بسيونى"/>
    <x v="0"/>
    <s v="حدايق الاهرام "/>
    <x v="0"/>
    <x v="0"/>
    <x v="0"/>
    <s v="اخري"/>
    <s v="كيفنج"/>
    <s v="١٠٠"/>
    <x v="1"/>
    <s v="اسود"/>
    <s v="            ٢ سرير كيفنج ١٠٠ اسود "/>
    <x v="28"/>
    <s v="كاش"/>
    <n v="17"/>
    <n v="20"/>
    <d v="2024-09-12T00:00:00"/>
    <d v="2024-09-29T00:00:00"/>
    <d v="2024-10-02T00:00:00"/>
    <x v="2"/>
    <s v="محمود على "/>
    <x v="0"/>
  </r>
  <r>
    <s v="هشام بسيونى"/>
    <x v="0"/>
    <s v="حدايق الاهرام "/>
    <x v="0"/>
    <x v="0"/>
    <x v="0"/>
    <s v="اخري"/>
    <s v="كيفنج"/>
    <s v="١٠٠"/>
    <x v="1"/>
    <s v="اسود"/>
    <s v="            ٢ سرير كيفنج ١٠٠ اسود "/>
    <x v="28"/>
    <s v="كاش"/>
    <n v="17"/>
    <n v="20"/>
    <d v="2024-09-12T00:00:00"/>
    <d v="2024-09-29T00:00:00"/>
    <d v="2024-10-02T00:00:00"/>
    <x v="2"/>
    <s v="محمود على "/>
    <x v="0"/>
  </r>
  <r>
    <s v="احمد"/>
    <x v="0"/>
    <s v="الشروق"/>
    <x v="5"/>
    <x v="0"/>
    <x v="0"/>
    <s v="ثلاثة ادوار"/>
    <s v="اخري"/>
    <s v="٨٠"/>
    <x v="0"/>
    <s v="ابيض"/>
    <s v="سرير ٣ ادوار ابيض مقاس ٨٠ ابيض "/>
    <x v="29"/>
    <s v="مسبق الدفع"/>
    <n v="17"/>
    <n v="20"/>
    <d v="2024-09-13T00:00:00"/>
    <d v="2024-09-30T00:00:00"/>
    <d v="2024-10-03T00:00:00"/>
    <x v="2"/>
    <s v="محمود على "/>
    <x v="0"/>
  </r>
  <r>
    <s v="ساره وجيه"/>
    <x v="0"/>
    <s v="الغردقه "/>
    <x v="3"/>
    <x v="0"/>
    <x v="0"/>
    <s v="دورين"/>
    <s v="كيفنج"/>
    <s v="٨٠"/>
    <x v="0"/>
    <s v="ابيض"/>
    <s v="سرير كيفنج دورين مقاس ٨٠ ابيض "/>
    <x v="30"/>
    <s v="مسبق الدفع"/>
    <n v="17"/>
    <n v="33"/>
    <d v="2024-09-13T00:00:00"/>
    <d v="2024-09-30T00:00:00"/>
    <d v="2024-10-16T00:00:00"/>
    <x v="2"/>
    <s v="شركه شحن "/>
    <x v="0"/>
  </r>
  <r>
    <s v="مها"/>
    <x v="0"/>
    <s v="لافيستا العين السخنه "/>
    <x v="3"/>
    <x v="0"/>
    <x v="0"/>
    <s v="اخري"/>
    <s v="استيل"/>
    <s v="١٤٠"/>
    <x v="2"/>
    <s v="ازرق"/>
    <s v="سرير استيل ازرق مقاس ١٤٠"/>
    <x v="31"/>
    <s v="مسبق الدفع"/>
    <n v="17"/>
    <n v="20"/>
    <d v="2024-09-13T00:00:00"/>
    <d v="2024-09-30T00:00:00"/>
    <d v="2024-10-03T00:00:00"/>
    <x v="2"/>
    <s v="شركه شحن "/>
    <x v="0"/>
  </r>
  <r>
    <s v="بسام الشربينى"/>
    <x v="0"/>
    <s v="٦ اكتوبر الجيزه "/>
    <x v="0"/>
    <x v="0"/>
    <x v="0"/>
    <s v="اخري"/>
    <s v="كينج"/>
    <s v="١٢٠"/>
    <x v="6"/>
    <s v="بنفسجى"/>
    <s v="سرير كينج ١٢٠ بنفسجى "/>
    <x v="32"/>
    <s v="مسبق الدفع"/>
    <n v="17"/>
    <n v="37"/>
    <d v="2024-09-13T00:00:00"/>
    <d v="2024-09-30T00:00:00"/>
    <d v="2024-10-20T00:00:00"/>
    <x v="2"/>
    <s v="محمود على "/>
    <x v="0"/>
  </r>
  <r>
    <s v="هبه عبد الفتاح"/>
    <x v="0"/>
    <s v="القاهره الجديده "/>
    <x v="5"/>
    <x v="0"/>
    <x v="0"/>
    <s v="٤ حركه"/>
    <s v="اخري"/>
    <s v="غير معروف"/>
    <x v="1"/>
    <s v="غير معروف"/>
    <s v="كنبه سرير ٤ حركه "/>
    <x v="33"/>
    <s v="مسبق الدفع"/>
    <n v="17"/>
    <n v="0"/>
    <d v="2024-09-13T00:00:00"/>
    <d v="2024-09-30T00:00:00"/>
    <m/>
    <x v="0"/>
    <s v="محمود على "/>
    <x v="0"/>
  </r>
  <r>
    <s v="اسراء ابراهيم"/>
    <x v="0"/>
    <s v="٦ اكتوبر الجيزه "/>
    <x v="0"/>
    <x v="0"/>
    <x v="0"/>
    <s v="دورين"/>
    <s v="كيفنج"/>
    <s v="٨٠"/>
    <x v="0"/>
    <s v="ابيض"/>
    <s v="سرير كيفنج دورين مقاس ٨٠ ابيض "/>
    <x v="30"/>
    <s v="مسبق الدفع"/>
    <n v="17"/>
    <n v="32"/>
    <d v="2024-09-13T00:00:00"/>
    <d v="2024-09-30T00:00:00"/>
    <d v="2024-10-15T00:00:00"/>
    <x v="2"/>
    <s v="محمود على "/>
    <x v="0"/>
  </r>
  <r>
    <s v="طارق كمال"/>
    <x v="0"/>
    <s v="المعادى"/>
    <x v="5"/>
    <x v="0"/>
    <x v="0"/>
    <s v="ثلاثة ادوار"/>
    <s v="اخري"/>
    <s v="٩٠"/>
    <x v="1"/>
    <s v="اسود"/>
    <s v="سرير ٣ ادوار اسود مقاس ٩٠ "/>
    <x v="34"/>
    <s v="مسبق الدفع"/>
    <n v="17"/>
    <n v="21"/>
    <d v="2024-09-13T00:00:00"/>
    <d v="2024-09-30T00:00:00"/>
    <d v="2024-10-04T00:00:00"/>
    <x v="2"/>
    <s v="محمود على "/>
    <x v="0"/>
  </r>
  <r>
    <s v="ديفد بهجت"/>
    <x v="0"/>
    <s v="فيصل الجيزه"/>
    <x v="0"/>
    <x v="0"/>
    <x v="1"/>
    <s v="اخري"/>
    <s v="اخري"/>
    <s v="غير معروف"/>
    <x v="3"/>
    <s v="غير معروف"/>
    <s v="تربيزه قهوه ٢ رافع"/>
    <x v="22"/>
    <s v="مسبق الدفع"/>
    <n v="32"/>
    <n v="37"/>
    <d v="2024-09-14T00:00:00"/>
    <d v="2024-10-16T00:00:00"/>
    <d v="2024-10-21T00:00:00"/>
    <x v="2"/>
    <s v="محمود على "/>
    <x v="0"/>
  </r>
  <r>
    <s v="اياد"/>
    <x v="0"/>
    <s v="المقطم "/>
    <x v="5"/>
    <x v="0"/>
    <x v="1"/>
    <s v="متحركه"/>
    <s v="اخري"/>
    <s v="غير معروف"/>
    <x v="3"/>
    <s v="غير معروف"/>
    <s v="ترابيزه قهوه متحركه "/>
    <x v="12"/>
    <s v="مسبق الدفع"/>
    <n v="45"/>
    <n v="46"/>
    <d v="2024-09-14T00:00:00"/>
    <d v="2024-10-29T00:00:00"/>
    <d v="2024-10-30T00:00:00"/>
    <x v="2"/>
    <s v="محمود على "/>
    <x v="0"/>
  </r>
  <r>
    <s v="ميار خورشد"/>
    <x v="0"/>
    <s v="٦ اكتوبر الجيزه "/>
    <x v="0"/>
    <x v="0"/>
    <x v="0"/>
    <s v="منطبق"/>
    <s v="منطبق"/>
    <s v="غير معروف"/>
    <x v="1"/>
    <s v="اسود"/>
    <s v="سرير منطبق اسود حديد ومعدن "/>
    <x v="21"/>
    <s v="مسبق الدفع "/>
    <n v="45"/>
    <n v="31"/>
    <d v="2024-09-14T00:00:00"/>
    <d v="2024-10-29T00:00:00"/>
    <d v="2024-10-15T00:00:00"/>
    <x v="1"/>
    <s v="محمود على "/>
    <x v="0"/>
  </r>
  <r>
    <s v="عبد الله سيد"/>
    <x v="0"/>
    <s v="الشيخ زايد ٦ اكتوبر "/>
    <x v="0"/>
    <x v="0"/>
    <x v="0"/>
    <s v="اخري"/>
    <s v="اسبانى"/>
    <s v="١٤٠"/>
    <x v="1"/>
    <s v="بيج"/>
    <s v="سرير اسبانى  ١٤٠ اسود وبيج "/>
    <x v="35"/>
    <s v="مسبق الدفع "/>
    <n v="45"/>
    <n v="31"/>
    <d v="2024-09-14T00:00:00"/>
    <d v="2024-10-29T00:00:00"/>
    <d v="2024-10-15T00:00:00"/>
    <x v="1"/>
    <s v="محمود على "/>
    <x v="0"/>
  </r>
  <r>
    <s v="كينج سونا"/>
    <x v="0"/>
    <s v="الشروق"/>
    <x v="5"/>
    <x v="0"/>
    <x v="1"/>
    <s v="رف سحاب"/>
    <s v="اخري"/>
    <s v="غير معروف"/>
    <x v="3"/>
    <s v="غير معروف"/>
    <s v="تربيزه قهوه مرتفعه برف سحاب "/>
    <x v="22"/>
    <s v="مسبق الدفع "/>
    <n v="45"/>
    <n v="35"/>
    <d v="2024-09-14T00:00:00"/>
    <d v="2024-10-29T00:00:00"/>
    <d v="2024-10-19T00:00:00"/>
    <x v="1"/>
    <s v="محمود على "/>
    <x v="0"/>
  </r>
  <r>
    <s v="احمد خالد"/>
    <x v="0"/>
    <s v="الرحاب"/>
    <x v="5"/>
    <x v="0"/>
    <x v="0"/>
    <s v="اخري"/>
    <s v="فورجينا"/>
    <s v="١٢٠"/>
    <x v="0"/>
    <s v="ابيض"/>
    <s v=" ٢. سرير فورجينا ابيض مقاس ١٢٠"/>
    <x v="36"/>
    <s v="مسبق الدفع "/>
    <n v="45"/>
    <n v="0"/>
    <d v="2024-09-14T00:00:00"/>
    <d v="2024-10-29T00:00:00"/>
    <m/>
    <x v="0"/>
    <m/>
    <x v="1"/>
  </r>
  <r>
    <s v="احمد خالد"/>
    <x v="0"/>
    <s v="الرحاب"/>
    <x v="5"/>
    <x v="0"/>
    <x v="0"/>
    <s v="اخري"/>
    <s v="فورجينا"/>
    <s v="١٢٠"/>
    <x v="0"/>
    <s v="ابيض"/>
    <s v=" ٢. سرير فورجينا ابيض مقاس ١٢٠"/>
    <x v="36"/>
    <s v="مسبق الدفع "/>
    <n v="45"/>
    <n v="0"/>
    <d v="2024-09-14T00:00:00"/>
    <d v="2024-10-29T00:00:00"/>
    <m/>
    <x v="0"/>
    <m/>
    <x v="1"/>
  </r>
  <r>
    <s v="ساره"/>
    <x v="0"/>
    <s v="القاهره الجديده"/>
    <x v="5"/>
    <x v="0"/>
    <x v="0"/>
    <s v="اخري"/>
    <s v="اسبانى"/>
    <s v="١٢٠"/>
    <x v="0"/>
    <s v="ابيض"/>
    <s v="   ٢. سرير اسبانى ابيض ١٢٠"/>
    <x v="18"/>
    <s v="مسبق الدفع"/>
    <n v="45"/>
    <n v="29"/>
    <d v="2024-09-14T00:00:00"/>
    <d v="2024-10-29T00:00:00"/>
    <d v="2024-10-13T00:00:00"/>
    <x v="1"/>
    <s v="محمود على "/>
    <x v="0"/>
  </r>
  <r>
    <s v="ساره"/>
    <x v="0"/>
    <s v="القاهره الجديده"/>
    <x v="5"/>
    <x v="0"/>
    <x v="0"/>
    <s v="اخري"/>
    <s v="اسبانى"/>
    <s v="١٢٠"/>
    <x v="0"/>
    <s v="ابيض"/>
    <s v="   ٢. سرير اسبانى ابيض ١٢٠"/>
    <x v="18"/>
    <s v="مسبق الدفع"/>
    <n v="45"/>
    <n v="29"/>
    <d v="2024-09-14T00:00:00"/>
    <d v="2024-10-29T00:00:00"/>
    <d v="2024-10-13T00:00:00"/>
    <x v="1"/>
    <s v="محمود على "/>
    <x v="0"/>
  </r>
  <r>
    <s v="احمد ايمن"/>
    <x v="0"/>
    <s v="العبور"/>
    <x v="6"/>
    <x v="0"/>
    <x v="1"/>
    <s v="اخري"/>
    <s v="اخري"/>
    <s v="غير معروف"/>
    <x v="3"/>
    <s v="غير معروف"/>
    <s v="ترابيزه قهوه علويه جديده "/>
    <x v="37"/>
    <s v="مسبق الدفع"/>
    <n v="45"/>
    <n v="35"/>
    <d v="2024-09-14T00:00:00"/>
    <d v="2024-10-29T00:00:00"/>
    <d v="2024-10-19T00:00:00"/>
    <x v="1"/>
    <s v="محمود على "/>
    <x v="0"/>
  </r>
  <r>
    <s v="مصطفي غنيم"/>
    <x v="0"/>
    <s v="اسيوط "/>
    <x v="7"/>
    <x v="0"/>
    <x v="0"/>
    <s v="دورين"/>
    <s v="كيفنج"/>
    <s v="١٢٠"/>
    <x v="4"/>
    <s v="رمادى"/>
    <s v="سرير كيفنج دورين مقاس ١٢٠ رمادى "/>
    <x v="26"/>
    <s v="مسبق الدفع "/>
    <n v="67"/>
    <n v="33"/>
    <d v="2024-09-14T00:00:00"/>
    <d v="2024-11-20T00:00:00"/>
    <d v="2024-10-17T00:00:00"/>
    <x v="1"/>
    <s v="شركه شحن "/>
    <x v="0"/>
  </r>
  <r>
    <s v="حسام عبدون"/>
    <x v="0"/>
    <s v="الغردقه"/>
    <x v="3"/>
    <x v="0"/>
    <x v="0"/>
    <s v="٤ حركه"/>
    <s v="اخري"/>
    <s v="غير معروف"/>
    <x v="1"/>
    <s v="غير معروف"/>
    <s v="كنبه سرير ٤ حركه "/>
    <x v="33"/>
    <s v="مسبق الدفع"/>
    <n v="67"/>
    <n v="0"/>
    <d v="2024-09-14T00:00:00"/>
    <d v="2024-11-20T00:00:00"/>
    <m/>
    <x v="0"/>
    <m/>
    <x v="1"/>
  </r>
  <r>
    <s v="رامى"/>
    <x v="0"/>
    <s v="الشروق"/>
    <x v="5"/>
    <x v="0"/>
    <x v="0"/>
    <s v="اخري"/>
    <s v="نوفال"/>
    <s v="١٠٠"/>
    <x v="4"/>
    <s v="رمادى"/>
    <s v="سرير نوفال ١٠٠ رمادى "/>
    <x v="38"/>
    <s v="مسبق الدفع"/>
    <n v="67"/>
    <n v="17"/>
    <d v="2024-09-14T00:00:00"/>
    <d v="2024-11-20T00:00:00"/>
    <d v="2024-10-01T00:00:00"/>
    <x v="1"/>
    <s v="شركه شحن "/>
    <x v="0"/>
  </r>
  <r>
    <s v="رحاب"/>
    <x v="0"/>
    <s v="القاهره الجديده"/>
    <x v="5"/>
    <x v="0"/>
    <x v="0"/>
    <s v="٤ حركه"/>
    <s v="اخري"/>
    <s v="غير معروف"/>
    <x v="1"/>
    <s v="غير معروف"/>
    <s v="كنبه سرير ٤ حركه "/>
    <x v="33"/>
    <s v="مسبق الدفع"/>
    <n v="67"/>
    <n v="25"/>
    <d v="2024-09-14T00:00:00"/>
    <d v="2024-11-20T00:00:00"/>
    <d v="2024-10-09T00:00:00"/>
    <x v="1"/>
    <s v="محمود على "/>
    <x v="0"/>
  </r>
  <r>
    <s v="فؤاد المنسي"/>
    <x v="0"/>
    <s v="المقطم "/>
    <x v="5"/>
    <x v="0"/>
    <x v="0"/>
    <s v="اخري"/>
    <s v="نوفال"/>
    <s v="٨٠"/>
    <x v="0"/>
    <s v="ابيض"/>
    <s v="سرير نوفال مقاس ٨٠ ابيض "/>
    <x v="30"/>
    <s v="مسبق الدفع "/>
    <n v="67"/>
    <n v="32"/>
    <d v="2024-09-14T00:00:00"/>
    <d v="2024-11-20T00:00:00"/>
    <d v="2024-10-16T00:00:00"/>
    <x v="1"/>
    <s v="محمود على "/>
    <x v="0"/>
  </r>
  <r>
    <s v="mohannad"/>
    <x v="0"/>
    <s v="EL-Maadi"/>
    <x v="4"/>
    <x v="0"/>
    <x v="0"/>
    <s v="دورين"/>
    <s v="كيفنج"/>
    <s v="٨٠"/>
    <x v="0"/>
    <s v="ابيض"/>
    <s v="سرير دورين كيفنج 80 ابيض "/>
    <x v="30"/>
    <s v="مسبق الدفع "/>
    <n v="66"/>
    <n v="31"/>
    <d v="2024-09-15T00:00:00"/>
    <d v="2024-11-20T00:00:00"/>
    <d v="2024-10-16T00:00:00"/>
    <x v="1"/>
    <s v="محمود على "/>
    <x v="0"/>
  </r>
  <r>
    <s v="mohannad"/>
    <x v="0"/>
    <s v="EL-Maadi"/>
    <x v="4"/>
    <x v="0"/>
    <x v="0"/>
    <s v="دورين"/>
    <s v="كيفنج"/>
    <s v="٨٠"/>
    <x v="0"/>
    <s v="ابيض"/>
    <s v="سرير دورين كيفنج 80 ابيض "/>
    <x v="30"/>
    <s v="مسبق الدفع "/>
    <n v="66"/>
    <n v="31"/>
    <d v="2024-09-15T00:00:00"/>
    <d v="2024-11-20T00:00:00"/>
    <d v="2024-10-16T00:00:00"/>
    <x v="1"/>
    <s v="محمود على "/>
    <x v="0"/>
  </r>
  <r>
    <s v="Mohamed Ayman"/>
    <x v="0"/>
    <s v="Madinet Badr"/>
    <x v="6"/>
    <x v="0"/>
    <x v="3"/>
    <s v="اخري"/>
    <s v="اخري"/>
    <s v="غير معروف"/>
    <x v="1"/>
    <s v="رمادى"/>
    <s v="كنبة 4*1   اسود رمادى"/>
    <x v="33"/>
    <s v="مسبق الدفع "/>
    <n v="66"/>
    <n v="34"/>
    <d v="2024-09-15T00:00:00"/>
    <d v="2024-11-20T00:00:00"/>
    <d v="2024-10-19T00:00:00"/>
    <x v="1"/>
    <s v="محمود على "/>
    <x v="0"/>
  </r>
  <r>
    <s v="اسامه"/>
    <x v="0"/>
    <s v="العين السخنه"/>
    <x v="3"/>
    <x v="0"/>
    <x v="1"/>
    <s v="ميكانزم"/>
    <s v="ميكانزم"/>
    <s v="غير معروف"/>
    <x v="3"/>
    <s v="غير معروف"/>
    <s v="تربيزه 2 ميكانزم    "/>
    <x v="12"/>
    <s v="كاش"/>
    <n v="44"/>
    <n v="59"/>
    <d v="2024-09-16T00:00:00"/>
    <d v="2024-10-30T00:00:00"/>
    <d v="2024-11-14T00:00:00"/>
    <x v="2"/>
    <s v="شركه شحن "/>
    <x v="0"/>
  </r>
  <r>
    <s v="اوسكار راتن"/>
    <x v="1"/>
    <s v="المخزن ابو الغيط "/>
    <x v="4"/>
    <x v="4"/>
    <x v="0"/>
    <s v="دورين"/>
    <s v="كيفنج"/>
    <s v="٨٠"/>
    <x v="0"/>
    <s v="ابيض"/>
    <s v="سرير دورين كيفنج 80 ابيض "/>
    <x v="39"/>
    <s v="حساب شركه"/>
    <n v="14"/>
    <n v="21"/>
    <d v="2024-09-21T00:00:00"/>
    <d v="2024-10-05T00:00:00"/>
    <d v="2024-10-12T00:00:00"/>
    <x v="2"/>
    <s v="محمود على "/>
    <x v="0"/>
  </r>
  <r>
    <s v="تاكى"/>
    <x v="1"/>
    <s v="العباسيه"/>
    <x v="5"/>
    <x v="3"/>
    <x v="0"/>
    <s v="دورين"/>
    <s v="كينج"/>
    <s v="١٠٠"/>
    <x v="7"/>
    <s v="بنى"/>
    <s v="سرير دورين كينج 100 اسود وبنى "/>
    <x v="40"/>
    <s v="حساب شركه"/>
    <n v="15"/>
    <n v="24"/>
    <d v="2024-09-23T00:00:00"/>
    <d v="2024-10-08T00:00:00"/>
    <d v="2024-10-17T00:00:00"/>
    <x v="2"/>
    <s v="محمود على "/>
    <x v="0"/>
  </r>
  <r>
    <s v="تاكى"/>
    <x v="1"/>
    <s v="العباسيه"/>
    <x v="5"/>
    <x v="3"/>
    <x v="0"/>
    <s v="دورين"/>
    <s v="كينج"/>
    <s v="١٠٠"/>
    <x v="7"/>
    <s v="بنى"/>
    <s v="سرير دورين كينج 100 اسود وبنى "/>
    <x v="40"/>
    <s v="حساب شركه"/>
    <n v="15"/>
    <n v="24"/>
    <d v="2024-09-23T00:00:00"/>
    <d v="2024-10-08T00:00:00"/>
    <d v="2024-10-17T00:00:00"/>
    <x v="2"/>
    <s v="محمود على "/>
    <x v="0"/>
  </r>
  <r>
    <s v="ولاء بدوى"/>
    <x v="0"/>
    <s v="العباسيه"/>
    <x v="5"/>
    <x v="0"/>
    <x v="0"/>
    <s v="فردي"/>
    <s v="فورجينا"/>
    <s v="١٢٠"/>
    <x v="0"/>
    <s v="ابيض"/>
    <s v="سرير فردى فورجينا 120 ابيض "/>
    <x v="41"/>
    <s v="كاش"/>
    <n v="45"/>
    <n v="14"/>
    <d v="2024-09-26T00:00:00"/>
    <d v="2024-11-10T00:00:00"/>
    <d v="2024-10-10T00:00:00"/>
    <x v="1"/>
    <s v="محمود على "/>
    <x v="0"/>
  </r>
  <r>
    <s v="عبد الرحمن يسري"/>
    <x v="0"/>
    <s v="اكتوبر الجيزه"/>
    <x v="0"/>
    <x v="0"/>
    <x v="1"/>
    <s v="رف سحاب"/>
    <s v="اخري"/>
    <s v="غير معروف"/>
    <x v="3"/>
    <s v="غير معروف"/>
    <s v="تربيزه رف سحاب    "/>
    <x v="22"/>
    <s v="كاش"/>
    <n v="45"/>
    <n v="0"/>
    <d v="2024-09-26T00:00:00"/>
    <d v="2024-11-10T00:00:00"/>
    <m/>
    <x v="0"/>
    <m/>
    <x v="1"/>
  </r>
  <r>
    <s v="شيك هومز"/>
    <x v="1"/>
    <s v="التجمع"/>
    <x v="5"/>
    <x v="1"/>
    <x v="3"/>
    <s v="اخري"/>
    <s v="اخري"/>
    <s v="غير معروف"/>
    <x v="3"/>
    <s v="نبيتى"/>
    <s v="كنبه 4×1    نبيتى "/>
    <x v="42"/>
    <s v="مسبق الدفع"/>
    <n v="18"/>
    <n v="17"/>
    <d v="2024-09-26T00:00:00"/>
    <d v="2024-10-14T00:00:00"/>
    <d v="2024-10-13T00:00:00"/>
    <x v="1"/>
    <s v="محمود على "/>
    <x v="0"/>
  </r>
  <r>
    <s v="شيك هومز"/>
    <x v="1"/>
    <m/>
    <x v="4"/>
    <x v="1"/>
    <x v="0"/>
    <s v="دورين"/>
    <s v="كينج"/>
    <s v="١٠٠"/>
    <x v="8"/>
    <s v="اسود"/>
    <s v="سرير دورين كينج 100 اسود  "/>
    <x v="19"/>
    <s v="كاش"/>
    <n v="18"/>
    <n v="0"/>
    <d v="2024-09-26T00:00:00"/>
    <d v="2024-10-14T00:00:00"/>
    <m/>
    <x v="0"/>
    <m/>
    <x v="1"/>
  </r>
  <r>
    <s v="شيك هومز"/>
    <x v="1"/>
    <m/>
    <x v="4"/>
    <x v="1"/>
    <x v="0"/>
    <s v="فردي"/>
    <s v="اسبانى"/>
    <s v="١٢٠"/>
    <x v="0"/>
    <s v="ابيض"/>
    <s v="سرير فردى اسبانى 120 ابيض "/>
    <x v="43"/>
    <s v="مسبق الدفع"/>
    <n v="21"/>
    <n v="22"/>
    <d v="2024-09-29T00:00:00"/>
    <d v="2024-10-20T00:00:00"/>
    <d v="2024-10-21T00:00:00"/>
    <x v="2"/>
    <s v="محمود على "/>
    <x v="0"/>
  </r>
  <r>
    <s v="اوسكار راتن"/>
    <x v="1"/>
    <s v="المخزن ابو الغيط "/>
    <x v="4"/>
    <x v="4"/>
    <x v="0"/>
    <s v="فردي"/>
    <s v="فورجينا"/>
    <s v="١٢٠"/>
    <x v="0"/>
    <s v="ابيض"/>
    <s v="سرير فردى فورجينا 120 ابيض "/>
    <x v="20"/>
    <s v="حساب شركه"/>
    <n v="13"/>
    <n v="13"/>
    <d v="2024-09-29T00:00:00"/>
    <d v="2024-10-12T00:00:00"/>
    <d v="2024-10-12T00:00:00"/>
    <x v="1"/>
    <s v="محمود على "/>
    <x v="0"/>
  </r>
  <r>
    <s v="الحج محمد السويس"/>
    <x v="0"/>
    <s v="السويس "/>
    <x v="8"/>
    <x v="5"/>
    <x v="0"/>
    <s v="دورين"/>
    <s v="فانتاستك"/>
    <s v="١٠٠"/>
    <x v="9"/>
    <s v="ملون"/>
    <s v="سرير دورين فانتاستك 100 ملون "/>
    <x v="44"/>
    <n v="0"/>
    <n v="8"/>
    <n v="8"/>
    <d v="2024-10-01T00:00:00"/>
    <d v="2024-10-09T00:00:00"/>
    <d v="2024-10-09T00:00:00"/>
    <x v="1"/>
    <s v="الحج سيد "/>
    <x v="0"/>
  </r>
  <r>
    <s v="الحج محمد السويس"/>
    <x v="0"/>
    <s v="السويس "/>
    <x v="8"/>
    <x v="5"/>
    <x v="0"/>
    <s v="منطبق"/>
    <s v="منطبق"/>
    <s v="غير معروف"/>
    <x v="10"/>
    <s v="بيج"/>
    <s v="سرير منطبق   اسزد بيج"/>
    <x v="45"/>
    <n v="0"/>
    <n v="8"/>
    <n v="8"/>
    <d v="2024-10-01T00:00:00"/>
    <d v="2024-10-09T00:00:00"/>
    <d v="2024-10-09T00:00:00"/>
    <x v="1"/>
    <s v="الحج سيد "/>
    <x v="0"/>
  </r>
  <r>
    <s v="الحج محمد السويس"/>
    <x v="0"/>
    <s v="السويس "/>
    <x v="8"/>
    <x v="5"/>
    <x v="3"/>
    <s v="فنيسيا"/>
    <s v="فنيسيا"/>
    <s v="غير معروف"/>
    <x v="1"/>
    <s v="رصاصي"/>
    <s v="كنبه فنيسيا   اسود رصاصي مشجر"/>
    <x v="46"/>
    <n v="0"/>
    <n v="8"/>
    <n v="8"/>
    <d v="2024-10-01T00:00:00"/>
    <d v="2024-10-09T00:00:00"/>
    <d v="2024-10-09T00:00:00"/>
    <x v="1"/>
    <s v="الحج سيد "/>
    <x v="0"/>
  </r>
  <r>
    <s v="الحج محمد السويس"/>
    <x v="0"/>
    <s v="السويس "/>
    <x v="8"/>
    <x v="5"/>
    <x v="5"/>
    <s v="شيزلونج"/>
    <s v="شيزلونج"/>
    <s v="غير معروف"/>
    <x v="1"/>
    <s v="نبيتى"/>
    <s v="شيزلونج    اسود نبيتى "/>
    <x v="47"/>
    <n v="0"/>
    <n v="8"/>
    <n v="8"/>
    <d v="2024-10-01T00:00:00"/>
    <d v="2024-10-09T00:00:00"/>
    <d v="2024-10-09T00:00:00"/>
    <x v="1"/>
    <s v="الحج سيد "/>
    <x v="0"/>
  </r>
  <r>
    <s v="عمرو الأسود"/>
    <x v="0"/>
    <s v="الزمالك"/>
    <x v="5"/>
    <x v="0"/>
    <x v="0"/>
    <s v="منطبق"/>
    <s v="منطبق"/>
    <s v="غير معروف"/>
    <x v="1"/>
    <s v="اسود"/>
    <s v="سرير منطبق   اسود اسود"/>
    <x v="48"/>
    <s v="كاش"/>
    <n v="45"/>
    <n v="0"/>
    <d v="2024-10-03T00:00:00"/>
    <d v="2024-11-17T00:00:00"/>
    <m/>
    <x v="0"/>
    <m/>
    <x v="1"/>
  </r>
  <r>
    <s v="شيك هومز"/>
    <x v="1"/>
    <s v="مخزن شيك هومز"/>
    <x v="4"/>
    <x v="1"/>
    <x v="3"/>
    <s v="اخري"/>
    <s v="اخري"/>
    <s v="غير معروف"/>
    <x v="8"/>
    <s v="بترولى"/>
    <s v="كنبه  4×1   اسود  بترولى "/>
    <x v="4"/>
    <s v="مسبق الدفع"/>
    <n v="21"/>
    <n v="22"/>
    <d v="2024-10-08T00:00:00"/>
    <d v="2024-10-29T00:00:00"/>
    <d v="2024-10-30T00:00:00"/>
    <x v="2"/>
    <s v="محمود على "/>
    <x v="0"/>
  </r>
  <r>
    <s v="شيك هومز"/>
    <x v="1"/>
    <s v="أكتوبر "/>
    <x v="0"/>
    <x v="1"/>
    <x v="3"/>
    <s v="اخري"/>
    <s v="اخري"/>
    <s v="غير معروف"/>
    <x v="8"/>
    <s v="بترولى"/>
    <s v="كنبة 4×1   اسود  بترولى "/>
    <x v="4"/>
    <s v="مسبق الدفع"/>
    <n v="22"/>
    <n v="8"/>
    <d v="2024-10-07T00:00:00"/>
    <d v="2024-10-29T00:00:00"/>
    <d v="2024-10-15T00:00:00"/>
    <x v="1"/>
    <s v="محمود على "/>
    <x v="0"/>
  </r>
  <r>
    <s v="شيك هومز"/>
    <x v="1"/>
    <m/>
    <x v="4"/>
    <x v="1"/>
    <x v="3"/>
    <s v="اخري"/>
    <s v="اخري"/>
    <s v="غير معروف"/>
    <x v="8"/>
    <s v="نبيتى"/>
    <s v="كنبه  4×1   اسود  نبيتى "/>
    <x v="4"/>
    <s v="كاش"/>
    <n v="21"/>
    <n v="23"/>
    <d v="2024-10-10T00:00:00"/>
    <d v="2024-10-31T00:00:00"/>
    <d v="2024-11-02T00:00:00"/>
    <x v="2"/>
    <s v="محمود على "/>
    <x v="0"/>
  </r>
  <r>
    <s v="keira"/>
    <x v="0"/>
    <s v="القاهره الجديده "/>
    <x v="5"/>
    <x v="0"/>
    <x v="0"/>
    <s v="دورين"/>
    <s v="نوفال"/>
    <s v="١٤٠/١٠٠"/>
    <x v="11"/>
    <s v="بينك"/>
    <s v="سرير دورين نوفال  ١٤٠/١٠٠ بينك "/>
    <x v="49"/>
    <s v="كاش"/>
    <n v="65"/>
    <n v="20"/>
    <d v="2024-10-13T00:00:00"/>
    <d v="2024-12-17T00:00:00"/>
    <d v="2024-11-02T00:00:00"/>
    <x v="1"/>
    <s v="محمود على "/>
    <x v="0"/>
  </r>
  <r>
    <s v="tarek"/>
    <x v="0"/>
    <s v="مصر الجديده"/>
    <x v="5"/>
    <x v="0"/>
    <x v="0"/>
    <s v="دورين"/>
    <s v="كيفنج"/>
    <s v="٨٠"/>
    <x v="0"/>
    <s v="ابيض"/>
    <s v="سرير دورين كيفنج 80 ابيض "/>
    <x v="10"/>
    <s v="مسبق الدفع"/>
    <n v="64"/>
    <n v="5"/>
    <d v="2024-10-16T00:00:00"/>
    <d v="2024-12-19T00:00:00"/>
    <d v="2024-10-21T00:00:00"/>
    <x v="1"/>
    <s v="محمود على "/>
    <x v="0"/>
  </r>
  <r>
    <s v="reem"/>
    <x v="0"/>
    <s v="البطاش اسكندريه"/>
    <x v="1"/>
    <x v="0"/>
    <x v="0"/>
    <s v="دورين"/>
    <s v="نوفال"/>
    <s v="١٤٠/١٠٠"/>
    <x v="11"/>
    <s v="بينك"/>
    <s v="سرير دورين نوفال ١٠٠/١٤٠ بينك "/>
    <x v="49"/>
    <s v="مسبق الدفع"/>
    <n v="66"/>
    <n v="47"/>
    <d v="2024-10-17T00:00:00"/>
    <d v="2024-12-22T00:00:00"/>
    <d v="2024-12-03T00:00:00"/>
    <x v="1"/>
    <s v="شركه شحن "/>
    <x v="0"/>
  </r>
  <r>
    <s v="هشام سامى"/>
    <x v="0"/>
    <s v="41 كومبوند جولدن جستس الدور 4 شقه 4"/>
    <x v="4"/>
    <x v="6"/>
    <x v="0"/>
    <s v="فردي"/>
    <s v="بلحه"/>
    <s v="١٤٠"/>
    <x v="12"/>
    <s v="نبيتى"/>
    <s v="سرير فردى بلحه 140 نبيتى  خشب بنى فاتح"/>
    <x v="50"/>
    <s v="مسبق الدفع"/>
    <n v="28"/>
    <n v="25"/>
    <d v="2024-10-20T00:00:00"/>
    <d v="2024-11-17T00:00:00"/>
    <d v="2024-11-14T00:00:00"/>
    <x v="1"/>
    <s v="محمود على "/>
    <x v="0"/>
  </r>
  <r>
    <s v="شيك هومز"/>
    <x v="1"/>
    <s v="اكتوبر الجيزه"/>
    <x v="0"/>
    <x v="1"/>
    <x v="0"/>
    <s v="دورين"/>
    <s v="فانتاستك"/>
    <s v="١٠٠"/>
    <x v="13"/>
    <s v="ملون"/>
    <s v="سرير دورين فانتستيك 100 الوان "/>
    <x v="51"/>
    <s v="كاش"/>
    <n v="21"/>
    <n v="27"/>
    <d v="2024-10-22T00:00:00"/>
    <d v="2024-11-12T00:00:00"/>
    <d v="2024-11-18T00:00:00"/>
    <x v="2"/>
    <s v="محمود على "/>
    <x v="0"/>
  </r>
  <r>
    <s v="شيك هومز"/>
    <x v="1"/>
    <s v="اكتوبر الجيزه"/>
    <x v="0"/>
    <x v="1"/>
    <x v="0"/>
    <s v="دورين"/>
    <s v="فانتاستك"/>
    <s v="١٠٠"/>
    <x v="13"/>
    <s v="ملون"/>
    <s v="سرير دورين فانتستيك 100 الوان "/>
    <x v="51"/>
    <s v="كاش"/>
    <n v="21"/>
    <n v="27"/>
    <d v="2024-10-22T00:00:00"/>
    <d v="2024-11-12T00:00:00"/>
    <d v="2024-11-18T00:00:00"/>
    <x v="2"/>
    <s v="محمود على "/>
    <x v="0"/>
  </r>
  <r>
    <s v="اوسكار راتن"/>
    <x v="1"/>
    <s v="المعرض مدينه نصر"/>
    <x v="5"/>
    <x v="4"/>
    <x v="0"/>
    <s v="دورين"/>
    <s v="فانتاستك"/>
    <s v="١٠٠"/>
    <x v="13"/>
    <s v="ملون"/>
    <s v="سرير دورين فانتستيك 100 الوان "/>
    <x v="52"/>
    <s v="حساب شركه"/>
    <n v="0"/>
    <n v="0"/>
    <d v="2024-10-22T00:00:00"/>
    <m/>
    <m/>
    <x v="0"/>
    <m/>
    <x v="1"/>
  </r>
  <r>
    <s v="فاطمه محمد"/>
    <x v="0"/>
    <s v="أكتوبر الجيزه"/>
    <x v="0"/>
    <x v="0"/>
    <x v="0"/>
    <s v="فردي"/>
    <s v="فورجينا"/>
    <s v="١٢٠"/>
    <x v="0"/>
    <s v="ابيض"/>
    <s v="سرير فردى فورجينا 120 ابيض "/>
    <x v="41"/>
    <s v="كاش"/>
    <n v="24"/>
    <n v="28"/>
    <d v="2024-10-21T00:00:00"/>
    <d v="2024-11-14T00:00:00"/>
    <d v="2024-11-18T00:00:00"/>
    <x v="2"/>
    <s v="محمود على "/>
    <x v="0"/>
  </r>
  <r>
    <s v="شيك هومز"/>
    <x v="1"/>
    <m/>
    <x v="4"/>
    <x v="1"/>
    <x v="3"/>
    <s v="اخري"/>
    <s v="اخري"/>
    <s v="غير معروف"/>
    <x v="1"/>
    <s v="اسود"/>
    <s v="كنبه 4×1   اسود "/>
    <x v="53"/>
    <s v="مسبق الدفع"/>
    <n v="21"/>
    <n v="6"/>
    <d v="2024-10-24T00:00:00"/>
    <d v="2024-11-14T00:00:00"/>
    <d v="2024-10-30T00:00:00"/>
    <x v="1"/>
    <s v="محمود على "/>
    <x v="0"/>
  </r>
  <r>
    <s v="شيك هومز"/>
    <x v="1"/>
    <m/>
    <x v="4"/>
    <x v="1"/>
    <x v="0"/>
    <s v="دورين"/>
    <s v="كينج"/>
    <s v="١٠٠"/>
    <x v="1"/>
    <s v="اسود"/>
    <s v="سرير دورين كينج 100 اسود "/>
    <x v="54"/>
    <s v="كاش"/>
    <n v="21"/>
    <n v="0"/>
    <d v="2024-10-26T00:00:00"/>
    <d v="2024-11-16T00:00:00"/>
    <m/>
    <x v="0"/>
    <m/>
    <x v="1"/>
  </r>
  <r>
    <s v="ساره"/>
    <x v="0"/>
    <s v="الشيخ زايد اكتوبر"/>
    <x v="0"/>
    <x v="0"/>
    <x v="0"/>
    <s v="دورين"/>
    <s v="كينج"/>
    <s v="٩٠"/>
    <x v="1"/>
    <s v="اسود"/>
    <s v="سرير دورين كينج 90 اسود "/>
    <x v="55"/>
    <s v="كاش"/>
    <n v="15"/>
    <n v="23"/>
    <d v="2024-10-26T00:00:00"/>
    <d v="2024-11-10T00:00:00"/>
    <d v="2024-11-18T00:00:00"/>
    <x v="2"/>
    <s v="محمود على "/>
    <x v="0"/>
  </r>
  <r>
    <s v="ساره"/>
    <x v="0"/>
    <s v="الشيخ زايد اكتوبر"/>
    <x v="0"/>
    <x v="0"/>
    <x v="0"/>
    <s v="دورين"/>
    <s v="كينج"/>
    <s v="٩٠"/>
    <x v="1"/>
    <s v="اسود"/>
    <s v="سرير دورين كينج 90 اسود "/>
    <x v="55"/>
    <s v="كاش"/>
    <n v="15"/>
    <n v="23"/>
    <d v="2024-10-26T00:00:00"/>
    <d v="2024-11-10T00:00:00"/>
    <d v="2024-11-18T00:00:00"/>
    <x v="2"/>
    <s v="محمود على "/>
    <x v="0"/>
  </r>
  <r>
    <s v="بولا هومزمارت"/>
    <x v="0"/>
    <s v="المعادى"/>
    <x v="5"/>
    <x v="0"/>
    <x v="0"/>
    <s v="فردي"/>
    <s v="اسبانى"/>
    <s v="١٠٠"/>
    <x v="0"/>
    <s v="ابيض"/>
    <s v="سرير فردى اسبانى 100 ابيض "/>
    <x v="56"/>
    <s v="كاش"/>
    <n v="14"/>
    <n v="24"/>
    <d v="2024-10-28T00:00:00"/>
    <d v="2024-11-11T00:00:00"/>
    <d v="2024-11-21T00:00:00"/>
    <x v="2"/>
    <s v="محمود على "/>
    <x v="0"/>
  </r>
  <r>
    <s v="بولا هومزمارت"/>
    <x v="0"/>
    <s v="المعادى"/>
    <x v="5"/>
    <x v="0"/>
    <x v="0"/>
    <s v="فردي"/>
    <s v="اسبانى"/>
    <s v="١٢٠"/>
    <x v="0"/>
    <s v="ابيض"/>
    <s v="سرير فردى اسبانى 120 ابيض "/>
    <x v="57"/>
    <s v="كاش"/>
    <n v="14"/>
    <n v="24"/>
    <d v="2024-10-28T00:00:00"/>
    <d v="2024-11-11T00:00:00"/>
    <d v="2024-11-21T00:00:00"/>
    <x v="2"/>
    <s v="محمود على "/>
    <x v="0"/>
  </r>
  <r>
    <s v="محمد شكرى"/>
    <x v="0"/>
    <s v="مدينتى"/>
    <x v="5"/>
    <x v="0"/>
    <x v="0"/>
    <s v="دورين"/>
    <s v="كيفنج"/>
    <s v="٨٠"/>
    <x v="0"/>
    <s v="ابيض"/>
    <s v="سرير دورين كيفنج 80 ابيض "/>
    <x v="58"/>
    <s v="مسبق الدفع"/>
    <n v="15"/>
    <n v="16"/>
    <d v="2024-11-11T00:00:00"/>
    <d v="2024-11-26T00:00:00"/>
    <d v="2024-11-27T00:00:00"/>
    <x v="2"/>
    <s v="محمود على "/>
    <x v="0"/>
  </r>
  <r>
    <s v="شيك هومز"/>
    <x v="1"/>
    <s v="مخزن شيك هومز"/>
    <x v="4"/>
    <x v="1"/>
    <x v="3"/>
    <s v="اخري"/>
    <s v="ارينا"/>
    <s v="غير معروف"/>
    <x v="8"/>
    <s v="بترولى"/>
    <s v="كنبه 4×1 ارينا  اسود  بترولى"/>
    <x v="59"/>
    <s v="مسبق الدفع"/>
    <n v="25"/>
    <n v="6"/>
    <d v="2024-11-08T00:00:00"/>
    <d v="2024-12-03T00:00:00"/>
    <d v="2024-11-14T00:00:00"/>
    <x v="1"/>
    <s v="محمود على "/>
    <x v="0"/>
  </r>
  <r>
    <s v="منزلى"/>
    <x v="0"/>
    <s v="التجمع الخامس"/>
    <x v="5"/>
    <x v="6"/>
    <x v="0"/>
    <s v="فردي"/>
    <s v="فورجينا"/>
    <s v="١٢٠"/>
    <x v="0"/>
    <s v="ابيض"/>
    <s v="سرير فردى فورجينا 120 ابيض "/>
    <x v="60"/>
    <s v="حساب شركه"/>
    <n v="12"/>
    <n v="11"/>
    <d v="2024-11-10T00:00:00"/>
    <d v="2024-11-22T00:00:00"/>
    <d v="2024-11-21T00:00:00"/>
    <x v="1"/>
    <s v="محمود على "/>
    <x v="0"/>
  </r>
  <r>
    <s v="اوسكار راتن"/>
    <x v="1"/>
    <s v="المخزن ابو الغيط "/>
    <x v="4"/>
    <x v="4"/>
    <x v="0"/>
    <s v="دورين"/>
    <s v="كينج"/>
    <s v="٩٠"/>
    <x v="1"/>
    <s v="اسود"/>
    <s v="سرير دورين كينج 90 اسود "/>
    <x v="61"/>
    <s v="حساب شركه"/>
    <n v="14"/>
    <n v="13"/>
    <d v="2024-11-12T00:00:00"/>
    <d v="2024-11-26T00:00:00"/>
    <d v="2024-11-25T00:00:00"/>
    <x v="1"/>
    <s v="محمود على "/>
    <x v="0"/>
  </r>
  <r>
    <s v="حماده"/>
    <x v="0"/>
    <s v="المعادى"/>
    <x v="5"/>
    <x v="0"/>
    <x v="0"/>
    <s v="فردي"/>
    <s v="فورجينا"/>
    <s v="١٦٠"/>
    <x v="6"/>
    <s v="بنفسجى"/>
    <s v="سرير فردى فورجينا 160 بنفسجى "/>
    <x v="62"/>
    <s v="مسبق الدفع"/>
    <n v="12"/>
    <n v="15"/>
    <d v="2024-11-12T00:00:00"/>
    <d v="2024-11-24T00:00:00"/>
    <d v="2024-11-27T00:00:00"/>
    <x v="2"/>
    <s v="محمود على "/>
    <x v="0"/>
  </r>
  <r>
    <s v="صفاء عبد الباقي"/>
    <x v="0"/>
    <s v="التجمع الخامس"/>
    <x v="5"/>
    <x v="0"/>
    <x v="0"/>
    <s v="دورين"/>
    <s v="كينج"/>
    <s v="٨٠"/>
    <x v="0"/>
    <s v="ابيض"/>
    <s v="سرير دورين كينج  80 ابيض "/>
    <x v="63"/>
    <s v="مسبق الدفع"/>
    <n v="16"/>
    <n v="13"/>
    <d v="2024-11-14T00:00:00"/>
    <d v="2024-11-30T00:00:00"/>
    <d v="2024-11-27T00:00:00"/>
    <x v="1"/>
    <s v="محمود على "/>
    <x v="0"/>
  </r>
  <r>
    <s v="اوسكار راتن"/>
    <x v="1"/>
    <s v="المخزن ابو الغيط "/>
    <x v="4"/>
    <x v="4"/>
    <x v="0"/>
    <s v="دورين"/>
    <s v="نوفال"/>
    <s v="١٢٠"/>
    <x v="4"/>
    <s v="رمادى"/>
    <s v="سرير  دورين نوفال 120 رمادى "/>
    <x v="64"/>
    <s v="حساب شركه"/>
    <n v="13"/>
    <n v="11"/>
    <d v="2024-11-14T00:00:00"/>
    <d v="2024-11-27T00:00:00"/>
    <d v="2024-11-25T00:00:00"/>
    <x v="1"/>
    <s v="محمود على "/>
    <x v="0"/>
  </r>
  <r>
    <s v="اوسكار راتن"/>
    <x v="1"/>
    <s v="المخزن"/>
    <x v="4"/>
    <x v="4"/>
    <x v="0"/>
    <s v="دورين"/>
    <s v="نوفال"/>
    <s v="٩٠"/>
    <x v="1"/>
    <s v="اسود"/>
    <s v="سرير دورين  نوفال 90 اسود "/>
    <x v="65"/>
    <s v="حساب شركه"/>
    <n v="13"/>
    <n v="11"/>
    <d v="2024-11-14T00:00:00"/>
    <d v="2024-11-27T00:00:00"/>
    <d v="2024-11-25T00:00:00"/>
    <x v="1"/>
    <s v="محمود على "/>
    <x v="0"/>
  </r>
  <r>
    <s v="رندا العامرى"/>
    <x v="0"/>
    <s v="٦ اكتوبر الجيزه "/>
    <x v="0"/>
    <x v="7"/>
    <x v="0"/>
    <s v="دورين"/>
    <s v="كيفنج"/>
    <s v="٨٠"/>
    <x v="0"/>
    <s v="ابيض"/>
    <s v="سرير  دورين  كيفنج  80 ابيض "/>
    <x v="66"/>
    <s v="مسبق الدفع"/>
    <n v="11"/>
    <n v="9"/>
    <d v="2024-11-17T00:00:00"/>
    <d v="2024-11-28T00:00:00"/>
    <d v="2024-11-26T00:00:00"/>
    <x v="1"/>
    <s v="محمود على "/>
    <x v="0"/>
  </r>
  <r>
    <s v="ساره"/>
    <x v="0"/>
    <s v="٦ اكتوبر الجيزه"/>
    <x v="0"/>
    <x v="0"/>
    <x v="0"/>
    <s v="دورين"/>
    <s v="كينج"/>
    <s v="٩٠"/>
    <x v="1"/>
    <s v="اسود"/>
    <s v="سرير دورين كينج 90 اسود "/>
    <x v="67"/>
    <s v="كاش"/>
    <n v="15"/>
    <n v="6"/>
    <d v="2024-11-20T00:00:00"/>
    <d v="2024-12-05T00:00:00"/>
    <d v="2024-11-26T00:00:00"/>
    <x v="1"/>
    <s v="محمود على "/>
    <x v="0"/>
  </r>
  <r>
    <s v="تاكى"/>
    <x v="1"/>
    <s v="العباسيه "/>
    <x v="5"/>
    <x v="3"/>
    <x v="0"/>
    <s v="فردي"/>
    <s v="امريكي"/>
    <s v="١٦٠"/>
    <x v="1"/>
    <s v="اسود"/>
    <s v="سرير فردى  امريكى 160 اسود "/>
    <x v="56"/>
    <s v="حساب شركه"/>
    <n v="24"/>
    <n v="0"/>
    <d v="2024-11-14T00:00:00"/>
    <d v="2024-12-08T00:00:00"/>
    <m/>
    <x v="0"/>
    <m/>
    <x v="1"/>
  </r>
  <r>
    <s v="محمد حمدى"/>
    <x v="0"/>
    <s v="مصر الجديده"/>
    <x v="5"/>
    <x v="2"/>
    <x v="0"/>
    <s v="فردي"/>
    <s v="كوين"/>
    <s v="١٦٠"/>
    <x v="5"/>
    <s v="دهبي"/>
    <s v="سرير  فردى كوين  160 دهبي ابيض"/>
    <x v="9"/>
    <s v="كاش"/>
    <n v="10"/>
    <n v="5"/>
    <d v="2024-11-22T00:00:00"/>
    <d v="2024-12-02T00:00:00"/>
    <d v="2024-11-27T00:00:00"/>
    <x v="1"/>
    <s v="محمود على "/>
    <x v="0"/>
  </r>
  <r>
    <s v="بافلى هانى"/>
    <x v="0"/>
    <s v="شبرا "/>
    <x v="5"/>
    <x v="0"/>
    <x v="0"/>
    <s v="فردي"/>
    <s v="اسبانى"/>
    <s v="١٢٠"/>
    <x v="4"/>
    <s v="رمادى"/>
    <s v="سرير فردى  اسبانى  120 رمادى "/>
    <x v="68"/>
    <s v="كاش"/>
    <n v="11"/>
    <n v="16"/>
    <d v="2024-11-24T00:00:00"/>
    <d v="2024-12-05T00:00:00"/>
    <d v="2024-12-10T00:00:00"/>
    <x v="2"/>
    <s v="محمود على "/>
    <x v="0"/>
  </r>
  <r>
    <s v="تاكى"/>
    <x v="1"/>
    <s v="العباسيه "/>
    <x v="5"/>
    <x v="3"/>
    <x v="3"/>
    <s v="اخري"/>
    <s v="اخري"/>
    <s v="غير معروف"/>
    <x v="3"/>
    <s v="غير معروف"/>
    <s v="كنبه t1 t1   "/>
    <x v="9"/>
    <s v="كاش"/>
    <n v="16"/>
    <n v="1"/>
    <d v="2024-11-19T00:00:00"/>
    <d v="2024-12-05T00:00:00"/>
    <d v="2024-11-20T00:00:00"/>
    <x v="1"/>
    <s v="م محمد "/>
    <x v="0"/>
  </r>
  <r>
    <s v="رنا ميلاد"/>
    <x v="0"/>
    <s v="جليم الإسكندرية "/>
    <x v="1"/>
    <x v="0"/>
    <x v="1"/>
    <s v="مكتبه"/>
    <s v="اخري"/>
    <s v="غير معروف"/>
    <x v="3"/>
    <s v="غير معروف"/>
    <s v="ترابيزه  مكتبه   "/>
    <x v="69"/>
    <s v="مسبق الدفع"/>
    <n v="13"/>
    <n v="26"/>
    <d v="2024-11-27T00:00:00"/>
    <d v="2024-12-10T00:00:00"/>
    <d v="2024-12-23T00:00:00"/>
    <x v="2"/>
    <s v="شركه شحن "/>
    <x v="0"/>
  </r>
  <r>
    <s v="محمد ناجى"/>
    <x v="0"/>
    <s v="مدينه نصر "/>
    <x v="5"/>
    <x v="0"/>
    <x v="1"/>
    <s v="ميكانزم"/>
    <s v="ميكانزم"/>
    <s v="غير معروف"/>
    <x v="0"/>
    <s v="بنى"/>
    <s v="ترابيزه دوران  ميكانزم  ابيض ابيض في بنى غامق"/>
    <x v="47"/>
    <s v="كاش"/>
    <n v="13"/>
    <n v="22"/>
    <d v="2024-11-27T00:00:00"/>
    <d v="2024-12-10T00:00:00"/>
    <d v="2024-12-19T00:00:00"/>
    <x v="2"/>
    <s v="محمود على "/>
    <x v="0"/>
  </r>
  <r>
    <s v="احمد عبد الستار"/>
    <x v="0"/>
    <s v="المندره اسكندريه"/>
    <x v="1"/>
    <x v="0"/>
    <x v="0"/>
    <s v="دورين"/>
    <s v="كيفنج"/>
    <s v="١٠٠"/>
    <x v="1"/>
    <s v="اسود"/>
    <s v="سرير دورين كيفنج 100 اسود "/>
    <x v="70"/>
    <s v="مسبق الدفع"/>
    <n v="16"/>
    <n v="0"/>
    <d v="2024-11-29T00:00:00"/>
    <d v="2024-12-15T00:00:00"/>
    <m/>
    <x v="0"/>
    <m/>
    <x v="1"/>
  </r>
  <r>
    <s v="نور"/>
    <x v="0"/>
    <s v="القاهره الجديده"/>
    <x v="5"/>
    <x v="0"/>
    <x v="1"/>
    <s v="ميكانزم"/>
    <s v="ميكانزم"/>
    <s v="غير معروف"/>
    <x v="8"/>
    <s v="بنى"/>
    <s v="ترابيزه  دوران  ميكانزم  اسود  بنى غامق"/>
    <x v="47"/>
    <s v="مسبق الدفع"/>
    <n v="12"/>
    <n v="0"/>
    <d v="2024-11-30T00:00:00"/>
    <d v="2024-12-12T00:00:00"/>
    <m/>
    <x v="0"/>
    <m/>
    <x v="1"/>
  </r>
  <r>
    <s v="نور"/>
    <x v="0"/>
    <s v="القاهره الجديده"/>
    <x v="5"/>
    <x v="0"/>
    <x v="1"/>
    <s v="رف سحاب"/>
    <s v="اخري"/>
    <s v="غير معروف"/>
    <x v="1"/>
    <s v="بنى"/>
    <s v="ترابيزه  رف سحاب   اسود بنى غامق "/>
    <x v="71"/>
    <s v="مسبق الدفع"/>
    <n v="12"/>
    <n v="0"/>
    <d v="2024-11-30T00:00:00"/>
    <d v="2024-12-12T00:00:00"/>
    <m/>
    <x v="0"/>
    <m/>
    <x v="1"/>
  </r>
  <r>
    <s v="تامر"/>
    <x v="0"/>
    <s v="العين السخنه"/>
    <x v="4"/>
    <x v="0"/>
    <x v="1"/>
    <s v="ميكانزم"/>
    <s v="ميكانزم"/>
    <s v="غير معروف"/>
    <x v="8"/>
    <s v="بيج"/>
    <s v="ترابيزه ٢ ميكانزم   اسود  بيج "/>
    <x v="71"/>
    <s v="مسبق الدفع"/>
    <n v="12"/>
    <n v="0"/>
    <d v="2024-11-30T00:00:00"/>
    <d v="2024-12-12T00:00:00"/>
    <m/>
    <x v="0"/>
    <m/>
    <x v="1"/>
  </r>
  <r>
    <s v="هناء اسامه"/>
    <x v="0"/>
    <s v="القطاميه"/>
    <x v="4"/>
    <x v="0"/>
    <x v="0"/>
    <s v="دورين"/>
    <s v="نوفال"/>
    <s v="٨٠"/>
    <x v="0"/>
    <s v="ابيض"/>
    <s v="سرير دورين  نوفال 80 ابيض "/>
    <x v="58"/>
    <s v="مسبق الدفع"/>
    <n v="15"/>
    <n v="0"/>
    <d v="2024-12-02T00:00:00"/>
    <d v="2024-12-17T00:00:00"/>
    <m/>
    <x v="0"/>
    <m/>
    <x v="1"/>
  </r>
  <r>
    <s v="اوسكار راتن"/>
    <x v="1"/>
    <s v="المخزن ابو الغيط "/>
    <x v="4"/>
    <x v="4"/>
    <x v="0"/>
    <s v="دورين"/>
    <s v="كيفنج"/>
    <s v="٩٠"/>
    <x v="2"/>
    <s v="ازرق"/>
    <s v="سرير دورين  كيفنج  90 ازرق "/>
    <x v="72"/>
    <s v="حساب شركه"/>
    <n v="13"/>
    <n v="9"/>
    <d v="2024-12-01T00:00:00"/>
    <d v="2024-12-14T00:00:00"/>
    <d v="2024-12-10T00:00:00"/>
    <x v="1"/>
    <s v="محمود على "/>
    <x v="0"/>
  </r>
  <r>
    <s v="محمد عادل"/>
    <x v="0"/>
    <s v="العبور"/>
    <x v="5"/>
    <x v="0"/>
    <x v="0"/>
    <s v="منطبق"/>
    <s v="منطبق"/>
    <s v="غير معروف"/>
    <x v="1"/>
    <s v="اسود"/>
    <s v="سرير  منطبق   اسود اسود"/>
    <x v="47"/>
    <s v="كاش"/>
    <n v="10"/>
    <n v="15"/>
    <d v="2024-12-04T00:00:00"/>
    <d v="2024-12-14T00:00:00"/>
    <d v="2024-12-19T00:00:00"/>
    <x v="2"/>
    <s v="محمود على "/>
    <x v="0"/>
  </r>
  <r>
    <s v="مريم عنان"/>
    <x v="0"/>
    <s v="اب تاون كايرو التجمع "/>
    <x v="5"/>
    <x v="1"/>
    <x v="0"/>
    <s v="دورين"/>
    <s v="كينج"/>
    <s v="غير معروف"/>
    <x v="1"/>
    <s v="اسود"/>
    <s v="سرير دورين كينج  اسود "/>
    <x v="73"/>
    <s v="كاش"/>
    <n v="22"/>
    <n v="3"/>
    <d v="2024-12-09T00:00:00"/>
    <d v="2024-12-31T00:00:00"/>
    <d v="2024-12-12T00:00:00"/>
    <x v="1"/>
    <s v="محمود على "/>
    <x v="0"/>
  </r>
  <r>
    <s v="هبه عطيه"/>
    <x v="0"/>
    <s v="القاهره الجديده"/>
    <x v="5"/>
    <x v="0"/>
    <x v="1"/>
    <s v="ميكانزم"/>
    <s v="ميكانزم"/>
    <s v="غير معروف"/>
    <x v="8"/>
    <s v="بنى"/>
    <s v="ترابيزه دوران ميكانزم  اسود  بنى غامق"/>
    <x v="14"/>
    <s v="كاش"/>
    <n v="12"/>
    <n v="7"/>
    <d v="2024-12-12T00:00:00"/>
    <d v="2024-12-24T00:00:00"/>
    <d v="2024-12-19T00:00:00"/>
    <x v="1"/>
    <s v="محمود على "/>
    <x v="0"/>
  </r>
  <r>
    <s v="حمدى ذكرى"/>
    <x v="0"/>
    <s v="٦ اكتوبر الجيزه"/>
    <x v="4"/>
    <x v="0"/>
    <x v="0"/>
    <s v="دورين"/>
    <s v="نوفال"/>
    <s v="٨٠"/>
    <x v="1"/>
    <s v="اسود"/>
    <s v="سرير  دورين نوفال 80 اسود "/>
    <x v="31"/>
    <s v="كاش"/>
    <n v="16"/>
    <n v="17"/>
    <d v="2024-12-12T00:00:00"/>
    <d v="2024-12-28T00:00:00"/>
    <d v="2024-12-29T00:00:00"/>
    <x v="2"/>
    <s v="محمود على "/>
    <x v="0"/>
  </r>
  <r>
    <s v="شيك هومز"/>
    <x v="1"/>
    <s v="مخزن شيك هومز"/>
    <x v="4"/>
    <x v="1"/>
    <x v="3"/>
    <s v="اخري"/>
    <s v="ارينا"/>
    <s v="غير معروف"/>
    <x v="8"/>
    <s v="اسود"/>
    <s v="كنبه 4×1 ارينا  اسود  روك ١٠"/>
    <x v="74"/>
    <s v="حساب شركه"/>
    <n v="22"/>
    <n v="15"/>
    <d v="2024-12-14T00:00:00"/>
    <d v="2025-01-05T00:00:00"/>
    <d v="2024-12-29T00:00:00"/>
    <x v="1"/>
    <s v="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2DC137-069D-4F37-ACB5-ED9CA9E8FAF3}"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4:AE11"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axis="axisRow" dataField="1"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5"/>
  </rowFields>
  <rowItems count="7">
    <i>
      <x/>
    </i>
    <i>
      <x v="1"/>
    </i>
    <i>
      <x v="2"/>
    </i>
    <i>
      <x v="3"/>
    </i>
    <i>
      <x v="4"/>
    </i>
    <i>
      <x v="5"/>
    </i>
    <i t="grand">
      <x/>
    </i>
  </rowItems>
  <colItems count="1">
    <i/>
  </colItems>
  <dataFields count="1">
    <dataField name="Count of الصنف"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C7787A-EF81-4E89-90CA-7E045FEB0C2E}"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dataField="1" numFmtId="1" showAll="0">
      <items count="76">
        <item x="20"/>
        <item x="60"/>
        <item x="45"/>
        <item x="39"/>
        <item x="56"/>
        <item x="50"/>
        <item x="72"/>
        <item x="65"/>
        <item x="57"/>
        <item x="61"/>
        <item x="27"/>
        <item x="9"/>
        <item x="13"/>
        <item x="40"/>
        <item x="64"/>
        <item x="6"/>
        <item x="11"/>
        <item x="66"/>
        <item x="43"/>
        <item x="24"/>
        <item x="12"/>
        <item x="15"/>
        <item x="22"/>
        <item x="69"/>
        <item x="44"/>
        <item x="52"/>
        <item x="2"/>
        <item x="74"/>
        <item x="17"/>
        <item x="48"/>
        <item x="41"/>
        <item x="71"/>
        <item x="19"/>
        <item x="16"/>
        <item x="21"/>
        <item x="23"/>
        <item x="25"/>
        <item x="46"/>
        <item x="54"/>
        <item x="0"/>
        <item x="47"/>
        <item x="37"/>
        <item x="73"/>
        <item x="10"/>
        <item x="68"/>
        <item x="18"/>
        <item x="30"/>
        <item x="14"/>
        <item x="62"/>
        <item x="1"/>
        <item x="55"/>
        <item x="35"/>
        <item x="28"/>
        <item x="5"/>
        <item x="58"/>
        <item x="38"/>
        <item x="51"/>
        <item x="3"/>
        <item x="49"/>
        <item x="63"/>
        <item x="26"/>
        <item x="31"/>
        <item x="67"/>
        <item x="32"/>
        <item x="4"/>
        <item x="70"/>
        <item x="42"/>
        <item x="53"/>
        <item x="59"/>
        <item x="8"/>
        <item x="29"/>
        <item x="34"/>
        <item x="36"/>
        <item x="33"/>
        <item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s>
  <rowItems count="1">
    <i/>
  </rowItems>
  <colItems count="1">
    <i/>
  </colItems>
  <dataFields count="1">
    <dataField name="Sum of سعر البيع " fld="12" baseField="0" baseItem="0" numFmtId="43"/>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4E230-1B50-45DA-B47D-916D97E88818}"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R4:AS8"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s>
  <rowFields count="1">
    <field x="19"/>
  </rowFields>
  <rowItems count="4">
    <i>
      <x/>
    </i>
    <i>
      <x v="1"/>
    </i>
    <i>
      <x v="2"/>
    </i>
    <i t="grand">
      <x/>
    </i>
  </rowItems>
  <colItems count="1">
    <i/>
  </colItems>
  <dataFields count="1">
    <dataField name="Count of حالة التسليم" fld="19" subtotal="count" showDataAs="percentOfTotal" baseField="19" baseItem="0" numFmtId="165"/>
  </dataFields>
  <formats count="2">
    <format dxfId="24">
      <pivotArea collapsedLevelsAreSubtotals="1" fieldPosition="0">
        <references count="1">
          <reference field="19" count="1">
            <x v="0"/>
          </reference>
        </references>
      </pivotArea>
    </format>
    <format dxfId="23">
      <pivotArea outline="0" collapsedLevelsAreSubtotals="1" fieldPosition="0"/>
    </format>
  </formats>
  <chartFormats count="4">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9" count="1" selected="0">
            <x v="0"/>
          </reference>
        </references>
      </pivotArea>
    </chartFormat>
    <chartFormat chart="4" format="12">
      <pivotArea type="data" outline="0" fieldPosition="0">
        <references count="2">
          <reference field="4294967294" count="1" selected="0">
            <x v="0"/>
          </reference>
          <reference field="19" count="1" selected="0">
            <x v="1"/>
          </reference>
        </references>
      </pivotArea>
    </chartFormat>
    <chartFormat chart="4" format="1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131357-4F39-4ADB-A573-012562AAF64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4:O5" firstHeaderRow="1" firstDataRow="1" firstDataCol="0"/>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Items count="1">
    <i/>
  </rowItems>
  <colItems count="1">
    <i/>
  </colItems>
  <dataFields count="1">
    <dataField name="Average of سعر البيع "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C3B50B-1745-4E94-869F-2559BD860C64}"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V4:W13" firstHeaderRow="1" firstDataRow="1" firstDataCol="1"/>
  <pivotFields count="22">
    <pivotField showAll="0"/>
    <pivotField showAll="0"/>
    <pivotField showAll="0"/>
    <pivotField showAll="0">
      <items count="10">
        <item x="7"/>
        <item x="1"/>
        <item x="3"/>
        <item x="0"/>
        <item x="8"/>
        <item x="5"/>
        <item x="6"/>
        <item x="2"/>
        <item x="4"/>
        <item t="default"/>
      </items>
    </pivotField>
    <pivotField axis="axisRow" showAll="0">
      <items count="13">
        <item x="5"/>
        <item x="4"/>
        <item x="3"/>
        <item m="1" x="8"/>
        <item m="1" x="9"/>
        <item x="1"/>
        <item x="2"/>
        <item x="7"/>
        <item m="1" x="10"/>
        <item x="6"/>
        <item x="0"/>
        <item m="1" x="11"/>
        <item t="default"/>
      </items>
    </pivotField>
    <pivotField dataField="1"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4"/>
  </rowFields>
  <rowItems count="9">
    <i>
      <x/>
    </i>
    <i>
      <x v="1"/>
    </i>
    <i>
      <x v="2"/>
    </i>
    <i>
      <x v="5"/>
    </i>
    <i>
      <x v="6"/>
    </i>
    <i>
      <x v="7"/>
    </i>
    <i>
      <x v="9"/>
    </i>
    <i>
      <x v="10"/>
    </i>
    <i t="grand">
      <x/>
    </i>
  </rowItems>
  <colItems count="1">
    <i/>
  </colItems>
  <dataFields count="1">
    <dataField name="Count of الصنف" fld="5" subtotal="count" baseField="4" baseItem="0"/>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9338F4-21A1-4149-A193-C380A7A000C4}"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4:AL19"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axis="axisRow" dataField="1" showAll="0">
      <items count="15">
        <item x="0"/>
        <item x="2"/>
        <item x="10"/>
        <item x="1"/>
        <item x="8"/>
        <item x="7"/>
        <item x="13"/>
        <item x="6"/>
        <item x="11"/>
        <item x="5"/>
        <item x="4"/>
        <item x="9"/>
        <item x="12"/>
        <item x="3"/>
        <item t="default"/>
      </items>
    </pivotField>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9"/>
  </rowFields>
  <rowItems count="15">
    <i>
      <x/>
    </i>
    <i>
      <x v="1"/>
    </i>
    <i>
      <x v="2"/>
    </i>
    <i>
      <x v="3"/>
    </i>
    <i>
      <x v="4"/>
    </i>
    <i>
      <x v="5"/>
    </i>
    <i>
      <x v="6"/>
    </i>
    <i>
      <x v="7"/>
    </i>
    <i>
      <x v="8"/>
    </i>
    <i>
      <x v="9"/>
    </i>
    <i>
      <x v="10"/>
    </i>
    <i>
      <x v="11"/>
    </i>
    <i>
      <x v="12"/>
    </i>
    <i>
      <x v="13"/>
    </i>
    <i t="grand">
      <x/>
    </i>
  </rowItems>
  <colItems count="1">
    <i/>
  </colItems>
  <dataFields count="1">
    <dataField name="Count of اللون المعدن"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F74758-BE47-4ACC-AEB5-6CED8D987507}"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8"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axis="axisRow" dataField="1" showAll="0">
      <items count="5">
        <item x="0"/>
        <item m="1" x="3"/>
        <item x="2"/>
        <item x="1"/>
        <item t="default"/>
      </items>
    </pivotField>
  </pivotFields>
  <rowFields count="1">
    <field x="21"/>
  </rowFields>
  <rowItems count="4">
    <i>
      <x/>
    </i>
    <i>
      <x v="2"/>
    </i>
    <i>
      <x v="3"/>
    </i>
    <i t="grand">
      <x/>
    </i>
  </rowItems>
  <colItems count="1">
    <i/>
  </colItems>
  <dataFields count="1">
    <dataField name="Count of الحالة"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75DB08-37FB-478D-8784-7CE65163F53C}"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Z4:BA8" firstHeaderRow="1" firstDataRow="1" firstDataCol="1"/>
  <pivotFields count="22">
    <pivotField showAll="0"/>
    <pivotField showAll="0"/>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axis="axisRow" dataField="1" showAll="0">
      <items count="5">
        <item x="0"/>
        <item m="1" x="3"/>
        <item x="2"/>
        <item x="1"/>
        <item t="default"/>
      </items>
    </pivotField>
  </pivotFields>
  <rowFields count="1">
    <field x="21"/>
  </rowFields>
  <rowItems count="4">
    <i>
      <x/>
    </i>
    <i>
      <x v="2"/>
    </i>
    <i>
      <x v="3"/>
    </i>
    <i t="grand">
      <x/>
    </i>
  </rowItems>
  <colItems count="1">
    <i/>
  </colItems>
  <dataFields count="1">
    <dataField name="Count of الحالة" fld="21" subtotal="count" showDataAs="percentOfTotal" baseField="21" baseItem="0" numFmtId="10"/>
  </dataFields>
  <formats count="1">
    <format dxfId="25">
      <pivotArea collapsedLevelsAreSubtotals="1" fieldPosition="0">
        <references count="1">
          <reference field="2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B999E9-629F-4B00-9F33-7A45711F6E0B}"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A4:CB7" firstHeaderRow="1" firstDataRow="1" firstDataCol="1"/>
  <pivotFields count="22">
    <pivotField showAll="0"/>
    <pivotField axis="axisRow" dataField="1" showAll="0">
      <items count="3">
        <item x="0"/>
        <item x="1"/>
        <item t="default"/>
      </items>
    </pivotField>
    <pivotField showAll="0"/>
    <pivotField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1"/>
  </rowFields>
  <rowItems count="3">
    <i>
      <x/>
    </i>
    <i>
      <x v="1"/>
    </i>
    <i t="grand">
      <x/>
    </i>
  </rowItems>
  <colItems count="1">
    <i/>
  </colItems>
  <dataFields count="1">
    <dataField name="Count of نوع العميل" fld="1" subtotal="count"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B90FDC-7413-45AB-98B3-84DFA1134499}"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M4:BN14" firstHeaderRow="1" firstDataRow="1" firstDataCol="1"/>
  <pivotFields count="22">
    <pivotField showAll="0"/>
    <pivotField showAll="0"/>
    <pivotField showAll="0"/>
    <pivotField axis="axisRow" dataField="1" showAll="0">
      <items count="10">
        <item x="7"/>
        <item x="1"/>
        <item x="3"/>
        <item x="0"/>
        <item x="8"/>
        <item x="5"/>
        <item x="6"/>
        <item x="2"/>
        <item x="4"/>
        <item t="default"/>
      </items>
    </pivotField>
    <pivotField showAll="0">
      <items count="13">
        <item x="5"/>
        <item x="4"/>
        <item x="3"/>
        <item m="1" x="8"/>
        <item m="1" x="9"/>
        <item x="1"/>
        <item x="2"/>
        <item x="7"/>
        <item m="1" x="10"/>
        <item x="6"/>
        <item x="0"/>
        <item m="1" x="11"/>
        <item t="default"/>
      </items>
    </pivotField>
    <pivotField showAll="0">
      <items count="7">
        <item x="1"/>
        <item x="2"/>
        <item x="0"/>
        <item x="5"/>
        <item x="4"/>
        <item x="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3"/>
  </rowFields>
  <rowItems count="10">
    <i>
      <x/>
    </i>
    <i>
      <x v="1"/>
    </i>
    <i>
      <x v="2"/>
    </i>
    <i>
      <x v="3"/>
    </i>
    <i>
      <x v="4"/>
    </i>
    <i>
      <x v="5"/>
    </i>
    <i>
      <x v="6"/>
    </i>
    <i>
      <x v="7"/>
    </i>
    <i>
      <x v="8"/>
    </i>
    <i t="grand">
      <x/>
    </i>
  </rowItems>
  <colItems count="1">
    <i/>
  </colItems>
  <dataFields count="1">
    <dataField name="Count of المحافظه" fld="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ه1" xr10:uid="{F6157723-E742-48F1-A727-6F743DBE8CD7}" sourceName="المحافظه">
  <pivotTables>
    <pivotTable tabId="16" name="PivotTable10"/>
    <pivotTable tabId="16" name="PivotTable11"/>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s>
  <data>
    <tabular pivotCacheId="1259770503">
      <items count="9">
        <i x="7" s="1"/>
        <i x="1" s="1"/>
        <i x="3" s="1"/>
        <i x="0" s="1"/>
        <i x="8" s="1"/>
        <i x="5" s="1"/>
        <i x="6"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صنف1" xr10:uid="{3D486B01-4B58-49E2-86DE-0F00FA91F274}" sourceName="الصنف">
  <pivotTables>
    <pivotTable tabId="16" name="PivotTable10"/>
    <pivotTable tabId="16" name="PivotTable11"/>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s>
  <data>
    <tabular pivotCacheId="1259770503">
      <items count="6">
        <i x="1" s="1"/>
        <i x="2" s="1"/>
        <i x="0"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حالة_التسليم1" xr10:uid="{AECE9535-267E-4824-B94D-B20726D0898F}" sourceName="حالة التسليم">
  <pivotTables>
    <pivotTable tabId="16" name="PivotTable10"/>
    <pivotTable tabId="16" name="PivotTable11"/>
    <pivotTable tabId="16" name="PivotTable2"/>
    <pivotTable tabId="16" name="PivotTable3"/>
    <pivotTable tabId="16" name="PivotTable4"/>
    <pivotTable tabId="16" name="PivotTable7"/>
    <pivotTable tabId="16" name="PivotTable8"/>
    <pivotTable tabId="16" name="PivotTable9"/>
    <pivotTable tabId="16" name="PivotTable5"/>
    <pivotTable tabId="16" name="PivotTable6"/>
  </pivotTables>
  <data>
    <tabular pivotCacheId="125977050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ه 1" xr10:uid="{E4722858-802F-4F9F-96C9-EAC63858C683}" cache="Slicer_المحافظه1" caption="المحافظه" columnCount="2" style="Slicer Style 3" rowHeight="241300"/>
  <slicer name="الصنف 1" xr10:uid="{940B9608-4F57-4A90-AC1A-179895279516}" cache="Slicer_الصنف1" caption="الصنف" columnCount="2" style="Slicer Style 3" rowHeight="241300"/>
  <slicer name="حالة التسليم 1" xr10:uid="{80915374-93C1-439B-BE1E-9B1DA3F435B2}" cache="Slicer_حالة_التسليم1" caption="حالة التسليم" columnCount="2"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D8B02F-D881-4817-9BE1-BD25920BA9C2}" name="table2" displayName="table2" ref="A1:V127" totalsRowShown="0" dataDxfId="21">
  <autoFilter ref="A1:V127" xr:uid="{E4415179-1A5C-40CD-8E68-95641BE2666E}"/>
  <tableColumns count="22">
    <tableColumn id="1" xr3:uid="{84C847CA-E7BB-49C3-A5B0-C612F782E729}" name="أسم العميل" dataDxfId="20"/>
    <tableColumn id="2" xr3:uid="{F0C41048-187F-49C3-9715-EBAAF8A65163}" name="نوع العميل" dataDxfId="19"/>
    <tableColumn id="3" xr3:uid="{659E6AC2-B3E6-4F24-8363-5B3FA57B833E}" name="العنوان" dataDxfId="18"/>
    <tableColumn id="4" xr3:uid="{EDFCCF37-7E32-46BD-90A9-A16E5A6239F3}" name="المحافظه" dataDxfId="17"/>
    <tableColumn id="5" xr3:uid="{D8DD2934-A27D-495B-9715-4575D066BEE1}" name="منصة البيع " dataDxfId="16"/>
    <tableColumn id="6" xr3:uid="{9834078F-D38A-4113-9468-996DB7EA7680}" name="الصنف" dataDxfId="15"/>
    <tableColumn id="7" xr3:uid="{1144C1B8-EEAE-4260-BFFA-BDF24498D0E8}" name="نوع الصنف"/>
    <tableColumn id="8" xr3:uid="{AB5174D5-2B9B-4E94-A7D1-BA223C0F1EB8}" name="الاسم" dataDxfId="14"/>
    <tableColumn id="9" xr3:uid="{A64CCA94-9887-425A-AF95-ACC14A07DF81}" name="  المقاس" dataDxfId="13"/>
    <tableColumn id="10" xr3:uid="{38D9423F-6CC9-49FB-81C0-6279935819C5}" name="اللون المعدن" dataDxfId="12"/>
    <tableColumn id="11" xr3:uid="{4693359E-7736-4E8A-91FA-A03C5C12D39F}" name="        لون القماش" dataDxfId="11"/>
    <tableColumn id="12" xr3:uid="{32377CFA-CC0F-4B53-8570-F76855F5C63B}" name="المنتج" dataDxfId="10"/>
    <tableColumn id="13" xr3:uid="{AFFF54E5-5E3D-4B45-85CC-3F749F4BC971}" name="سعر البيع " dataDxfId="9"/>
    <tableColumn id="14" xr3:uid="{ABF35201-5087-4E49-81AC-E2DD274EF8F2}" name="طريقة الدفع" dataDxfId="8"/>
    <tableColumn id="15" xr3:uid="{199298E7-2E98-4B72-B4C1-67E14B2FEC51}" name="مدة التسليم (الهدف)" dataDxfId="7"/>
    <tableColumn id="16" xr3:uid="{992C04A5-A91E-4F2B-BDA5-75DDDF42510A}" name="مدة التسليم (الفعليه)" dataDxfId="6"/>
    <tableColumn id="17" xr3:uid="{30FDBD8A-0CE4-4D4E-ACFC-1A257BBE3BD6}" name="ميعاد الطلب" dataDxfId="5"/>
    <tableColumn id="18" xr3:uid="{C6775D7D-A077-433E-8418-92054F834972}" name="ميعاد التسليم" dataDxfId="4"/>
    <tableColumn id="19" xr3:uid="{09958E92-D09E-4CF6-9944-7BBEC3E1F26E}" name="تاريخ التسليم" dataDxfId="3"/>
    <tableColumn id="22" xr3:uid="{60674FB1-5472-49A4-9D99-E383D4379516}" name="حالة التسليم" dataDxfId="2">
      <calculatedColumnFormula>IF(OR(LEN(TRIM(table2[[#This Row],[تاريخ التسليم]]))=0,LEN(TRIM(table2[[#This Row],[ميعاد التسليم]]))=0),"",IF(table2[[#This Row],[تاريخ التسليم]]&lt;=table2[[#This Row],[ميعاد التسليم]],"تم التسليم في الموعد","متأخر"))</calculatedColumnFormula>
    </tableColumn>
    <tableColumn id="20" xr3:uid="{4A8F568D-7089-494F-BCB8-C8003D0EA59F}" name="المسئول عن التسليم" dataDxfId="1"/>
    <tableColumn id="21" xr3:uid="{7584B466-09F4-45CB-8096-5800360D9F5D}" name="الحالة"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237" row="11">
    <wetp:webextensionref xmlns:r="http://schemas.openxmlformats.org/officeDocument/2006/relationships" r:id="rId2"/>
  </wetp:taskpane>
  <wetp:taskpane dockstate="right" visibility="0" width="350" row="8">
    <wetp:webextensionref xmlns:r="http://schemas.openxmlformats.org/officeDocument/2006/relationships" r:id="rId3"/>
  </wetp:taskpane>
  <wetp:taskpane dockstate="right" visibility="0" width="239" row="9">
    <wetp:webextensionref xmlns:r="http://schemas.openxmlformats.org/officeDocument/2006/relationships" r:id="rId4"/>
  </wetp:taskpane>
</wetp:taskpanes>
</file>

<file path=xl/webextensions/webextension1.xml><?xml version="1.0" encoding="utf-8"?>
<we:webextension xmlns:we="http://schemas.microsoft.com/office/webextensions/webextension/2010/11" id="{B27B687F-808D-4D65-8FEE-057F86ED4727}">
  <we:reference id="WA200009404" version="1.0.0.8" store="Omex" storeType="OMEX"/>
  <we:alternateReferences>
    <we:reference id="WA200009404" version="1.0.0.8" store="WA200009404" storeType="OMEX"/>
  </we:alternateReferences>
  <we:properties>
    <we:property name="claude.fileId" value="&quot;185f460f-aec9-4c63-b9a5-da318c690cf7&quot;"/>
  </we:properties>
  <we:bindings/>
  <we:snapshot xmlns:r="http://schemas.openxmlformats.org/officeDocument/2006/relationships"/>
</we:webextension>
</file>

<file path=xl/webextensions/webextension2.xml><?xml version="1.0" encoding="utf-8"?>
<we:webextension xmlns:we="http://schemas.microsoft.com/office/webextensions/webextension/2010/11" id="{62C47536-BA70-4121-9177-B90E7E82C30A}">
  <we:reference id="cba9fc06-6fc9-492e-9525-923870a3b909" version="2.0.0.0" store="EXCatalog" storeType="EXCatalog"/>
  <we:alternateReferences>
    <we:reference id="WA200010215" version="2.0.0.0" store="en-US"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7C94AE2A-8A3A-4689-9615-FC460BFE5C89}">
  <we:reference id="60011819-b8da-4a93-b812-dbfb662f0b76" version="1.0.0.0" store="EXCatalog" storeType="EXCatalog"/>
  <we:alternateReferences>
    <we:reference id="WA200004983" version="1.0.0.0" store="en-US" storeType="OMEX"/>
  </we:alternateReferences>
  <we:properties/>
  <we:bindings/>
  <we:snapshot xmlns:r="http://schemas.openxmlformats.org/officeDocument/2006/relationships"/>
</we:webextension>
</file>

<file path=xl/webextensions/webextension4.xml><?xml version="1.0" encoding="utf-8"?>
<we:webextension xmlns:we="http://schemas.microsoft.com/office/webextensions/webextension/2010/11" id="{76E62436-C882-4AE8-B780-DF1C2BFD5225}">
  <we:reference id="11d7cf85-ae5a-43b8-bc58-1e1a151cce24" version="1.0.0.1" store="EXCatalog" storeType="EXCatalog"/>
  <we:alternateReferences>
    <we:reference id="WA200010725" version="1.0.0.1" store="en-US" storeType="OMEX"/>
  </we:alternateReferences>
  <we:properties>
    <we:property name="claude.fileId" value="&quot;9394f65c-5260-47d0-afea-ba4430807ed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1CC9-4751-4D7D-B88F-A030D6F020AE}">
  <dimension ref="A1:C16"/>
  <sheetViews>
    <sheetView showGridLines="0" rightToLeft="1" workbookViewId="0">
      <selection activeCell="A14" sqref="A14"/>
    </sheetView>
  </sheetViews>
  <sheetFormatPr defaultRowHeight="14.5" x14ac:dyDescent="0.35"/>
  <cols>
    <col min="2" max="2" width="41.81640625" customWidth="1"/>
  </cols>
  <sheetData>
    <row r="1" spans="1:3" x14ac:dyDescent="0.35">
      <c r="A1" s="6"/>
      <c r="B1" s="6"/>
    </row>
    <row r="2" spans="1:3" x14ac:dyDescent="0.35">
      <c r="A2" s="6"/>
      <c r="B2" s="6"/>
    </row>
    <row r="3" spans="1:3" s="4" customFormat="1" ht="25" x14ac:dyDescent="0.5">
      <c r="A3" s="4" t="s">
        <v>207</v>
      </c>
    </row>
    <row r="4" spans="1:3" s="5" customFormat="1" ht="18.5" x14ac:dyDescent="0.45">
      <c r="A4" s="8" t="s">
        <v>200</v>
      </c>
      <c r="B4" s="8"/>
    </row>
    <row r="5" spans="1:3" s="1" customFormat="1" x14ac:dyDescent="0.35">
      <c r="A5" s="9"/>
      <c r="B5" s="9"/>
    </row>
    <row r="6" spans="1:3" s="3" customFormat="1" ht="17.5" x14ac:dyDescent="0.35">
      <c r="A6" s="3" t="s">
        <v>206</v>
      </c>
    </row>
    <row r="7" spans="1:3" s="2" customFormat="1" ht="15.5" x14ac:dyDescent="0.35">
      <c r="A7" s="10" t="s">
        <v>201</v>
      </c>
      <c r="B7" s="7"/>
    </row>
    <row r="8" spans="1:3" s="2" customFormat="1" ht="15.5" x14ac:dyDescent="0.35">
      <c r="A8" s="7" t="s">
        <v>202</v>
      </c>
      <c r="B8" s="7"/>
    </row>
    <row r="9" spans="1:3" s="2" customFormat="1" ht="15.5" x14ac:dyDescent="0.35">
      <c r="A9" s="7" t="s">
        <v>203</v>
      </c>
      <c r="B9" s="7"/>
    </row>
    <row r="10" spans="1:3" s="2" customFormat="1" ht="15.5" x14ac:dyDescent="0.35">
      <c r="A10" s="7" t="s">
        <v>204</v>
      </c>
      <c r="B10" s="7"/>
    </row>
    <row r="11" spans="1:3" s="7" customFormat="1" ht="15.5" x14ac:dyDescent="0.35">
      <c r="A11" s="7" t="s">
        <v>208</v>
      </c>
      <c r="C11" s="2"/>
    </row>
    <row r="12" spans="1:3" s="2" customFormat="1" ht="15.5" x14ac:dyDescent="0.35">
      <c r="A12" s="7" t="s">
        <v>209</v>
      </c>
      <c r="B12" s="7"/>
    </row>
    <row r="13" spans="1:3" s="2" customFormat="1" ht="15.5" x14ac:dyDescent="0.35">
      <c r="A13" s="7" t="s">
        <v>205</v>
      </c>
      <c r="B13" s="7"/>
    </row>
    <row r="14" spans="1:3" s="2" customFormat="1" ht="15.5" x14ac:dyDescent="0.35">
      <c r="A14" s="7" t="s">
        <v>212</v>
      </c>
      <c r="B14" s="7"/>
    </row>
    <row r="15" spans="1:3" s="2" customFormat="1" ht="15.5" x14ac:dyDescent="0.35">
      <c r="A15" s="7" t="s">
        <v>210</v>
      </c>
      <c r="B15" s="7"/>
    </row>
    <row r="16" spans="1:3" ht="15.5" x14ac:dyDescent="0.35">
      <c r="A16" s="7" t="s">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ADC37-5731-4B32-BB89-DB0E141C747F}">
  <dimension ref="A1:CJ19"/>
  <sheetViews>
    <sheetView rightToLeft="1" topLeftCell="AN1" workbookViewId="0">
      <selection activeCell="AR12" sqref="AR12"/>
    </sheetView>
  </sheetViews>
  <sheetFormatPr defaultRowHeight="14.5" x14ac:dyDescent="0.35"/>
  <cols>
    <col min="1" max="2" width="15.453125" bestFit="1" customWidth="1"/>
    <col min="3" max="3" width="10.26953125" bestFit="1" customWidth="1"/>
    <col min="4" max="4" width="4.26953125" bestFit="1" customWidth="1"/>
    <col min="5" max="5" width="15.453125" bestFit="1" customWidth="1"/>
    <col min="6" max="6" width="11.26953125" bestFit="1" customWidth="1"/>
    <col min="7" max="7" width="9.1796875" style="22"/>
    <col min="8" max="8" width="11.26953125" bestFit="1" customWidth="1"/>
    <col min="9" max="9" width="13.54296875" bestFit="1" customWidth="1"/>
    <col min="14" max="14" width="9.1796875" style="16"/>
    <col min="15" max="15" width="19" bestFit="1" customWidth="1"/>
    <col min="21" max="21" width="9.1796875" style="16"/>
    <col min="22" max="22" width="11.26953125" bestFit="1" customWidth="1"/>
    <col min="23" max="23" width="14.54296875" bestFit="1" customWidth="1"/>
    <col min="24" max="24" width="13.54296875" bestFit="1" customWidth="1"/>
    <col min="25" max="25" width="4.54296875" bestFit="1" customWidth="1"/>
    <col min="26" max="26" width="6.81640625" bestFit="1" customWidth="1"/>
    <col min="27" max="27" width="5" bestFit="1" customWidth="1"/>
    <col min="28" max="28" width="4.453125" style="16" bestFit="1" customWidth="1"/>
    <col min="29" max="29" width="11.26953125" style="16" bestFit="1" customWidth="1"/>
    <col min="30" max="30" width="11.26953125" bestFit="1" customWidth="1"/>
    <col min="31" max="31" width="14.54296875" bestFit="1" customWidth="1"/>
    <col min="36" max="36" width="9.1796875" style="16"/>
    <col min="37" max="37" width="11.26953125" bestFit="1" customWidth="1"/>
    <col min="38" max="38" width="18.54296875" bestFit="1" customWidth="1"/>
    <col min="43" max="43" width="9.1796875" style="16"/>
    <col min="44" max="44" width="15.453125" bestFit="1" customWidth="1"/>
    <col min="45" max="45" width="18.7265625" bestFit="1" customWidth="1"/>
    <col min="46" max="49" width="6" bestFit="1" customWidth="1"/>
    <col min="50" max="51" width="6" style="16" bestFit="1" customWidth="1"/>
    <col min="52" max="52" width="11.26953125" bestFit="1" customWidth="1"/>
    <col min="53" max="53" width="13.54296875" bestFit="1" customWidth="1"/>
    <col min="54" max="62" width="6" bestFit="1" customWidth="1"/>
    <col min="63" max="64" width="6" style="16" bestFit="1" customWidth="1"/>
    <col min="65" max="65" width="11.26953125" bestFit="1" customWidth="1"/>
    <col min="66" max="66" width="16.26953125" bestFit="1" customWidth="1"/>
    <col min="67" max="75" width="6" bestFit="1" customWidth="1"/>
    <col min="76" max="77" width="6" style="16" bestFit="1" customWidth="1"/>
    <col min="78" max="78" width="6" bestFit="1" customWidth="1"/>
    <col min="79" max="79" width="11.26953125" bestFit="1" customWidth="1"/>
    <col min="80" max="80" width="17.26953125" bestFit="1" customWidth="1"/>
    <col min="81" max="87" width="6" bestFit="1" customWidth="1"/>
    <col min="88" max="88" width="7.26953125" bestFit="1" customWidth="1"/>
    <col min="89" max="89" width="11.26953125" bestFit="1" customWidth="1"/>
  </cols>
  <sheetData>
    <row r="1" spans="1:88" ht="15" customHeight="1" x14ac:dyDescent="0.35">
      <c r="A1" s="30" t="s">
        <v>342</v>
      </c>
      <c r="B1" s="30"/>
      <c r="C1" s="30"/>
      <c r="D1" s="30"/>
      <c r="E1" s="30"/>
      <c r="F1" s="30"/>
      <c r="H1" s="30" t="s">
        <v>343</v>
      </c>
      <c r="I1" s="30"/>
      <c r="J1" s="30"/>
      <c r="K1" s="30"/>
      <c r="L1" s="30"/>
      <c r="M1" s="30"/>
      <c r="O1" s="30" t="s">
        <v>345</v>
      </c>
      <c r="P1" s="30"/>
      <c r="Q1" s="30"/>
      <c r="R1" s="30"/>
      <c r="S1" s="30"/>
      <c r="T1" s="30"/>
      <c r="V1" s="30" t="s">
        <v>347</v>
      </c>
      <c r="W1" s="30"/>
      <c r="X1" s="30"/>
      <c r="Y1" s="30"/>
      <c r="Z1" s="30"/>
      <c r="AA1" s="30"/>
      <c r="AD1" s="30" t="s">
        <v>349</v>
      </c>
      <c r="AE1" s="30"/>
      <c r="AF1" s="30"/>
      <c r="AG1" s="30"/>
      <c r="AH1" s="30"/>
      <c r="AI1" s="30"/>
      <c r="AK1" s="30" t="s">
        <v>350</v>
      </c>
      <c r="AL1" s="30"/>
      <c r="AM1" s="30"/>
      <c r="AN1" s="30"/>
      <c r="AO1" s="30"/>
      <c r="AP1" s="30"/>
      <c r="AR1" s="30" t="s">
        <v>353</v>
      </c>
      <c r="AS1" s="30"/>
      <c r="AT1" s="30"/>
      <c r="AU1" s="30"/>
      <c r="AV1" s="30"/>
      <c r="AW1" s="30"/>
      <c r="AZ1" s="29" t="s">
        <v>358</v>
      </c>
      <c r="BA1" s="29"/>
      <c r="BB1" s="29"/>
      <c r="BC1" s="29"/>
      <c r="BD1" s="29"/>
      <c r="BE1" s="29"/>
      <c r="BF1" s="29"/>
      <c r="BG1" s="29"/>
      <c r="BH1" s="29"/>
      <c r="BI1" s="29"/>
      <c r="BJ1" s="29"/>
      <c r="BM1" s="29" t="s">
        <v>361</v>
      </c>
      <c r="BN1" s="29"/>
      <c r="BO1" s="29"/>
      <c r="BP1" s="29"/>
      <c r="BQ1" s="29"/>
      <c r="BR1" s="29"/>
      <c r="BS1" s="29"/>
      <c r="BT1" s="29"/>
      <c r="BU1" s="29"/>
      <c r="BV1" s="29"/>
      <c r="BW1" s="29"/>
      <c r="BZ1" s="29" t="s">
        <v>363</v>
      </c>
      <c r="CA1" s="29"/>
      <c r="CB1" s="29"/>
      <c r="CC1" s="29"/>
      <c r="CD1" s="29"/>
      <c r="CE1" s="29"/>
      <c r="CF1" s="29"/>
      <c r="CG1" s="29"/>
      <c r="CH1" s="29"/>
      <c r="CI1" s="29"/>
      <c r="CJ1" s="29"/>
    </row>
    <row r="2" spans="1:88" ht="15" customHeight="1" x14ac:dyDescent="0.35">
      <c r="A2" s="30"/>
      <c r="B2" s="30"/>
      <c r="C2" s="30"/>
      <c r="D2" s="30"/>
      <c r="E2" s="30"/>
      <c r="F2" s="30"/>
      <c r="H2" s="30"/>
      <c r="I2" s="30"/>
      <c r="J2" s="30"/>
      <c r="K2" s="30"/>
      <c r="L2" s="30"/>
      <c r="M2" s="30"/>
      <c r="O2" s="30"/>
      <c r="P2" s="30"/>
      <c r="Q2" s="30"/>
      <c r="R2" s="30"/>
      <c r="S2" s="30"/>
      <c r="T2" s="30"/>
      <c r="V2" s="30"/>
      <c r="W2" s="30"/>
      <c r="X2" s="30"/>
      <c r="Y2" s="30"/>
      <c r="Z2" s="30"/>
      <c r="AA2" s="30"/>
      <c r="AD2" s="30"/>
      <c r="AE2" s="30"/>
      <c r="AF2" s="30"/>
      <c r="AG2" s="30"/>
      <c r="AH2" s="30"/>
      <c r="AI2" s="30"/>
      <c r="AK2" s="30"/>
      <c r="AL2" s="30"/>
      <c r="AM2" s="30"/>
      <c r="AN2" s="30"/>
      <c r="AO2" s="30"/>
      <c r="AP2" s="30"/>
      <c r="AR2" s="30"/>
      <c r="AS2" s="30"/>
      <c r="AT2" s="30"/>
      <c r="AU2" s="30"/>
      <c r="AV2" s="30"/>
      <c r="AW2" s="30"/>
      <c r="AZ2" s="29"/>
      <c r="BA2" s="29"/>
      <c r="BB2" s="29"/>
      <c r="BC2" s="29"/>
      <c r="BD2" s="29"/>
      <c r="BE2" s="29"/>
      <c r="BF2" s="29"/>
      <c r="BG2" s="29"/>
      <c r="BH2" s="29"/>
      <c r="BI2" s="29"/>
      <c r="BJ2" s="29"/>
      <c r="BM2" s="29"/>
      <c r="BN2" s="29"/>
      <c r="BO2" s="29"/>
      <c r="BP2" s="29"/>
      <c r="BQ2" s="29"/>
      <c r="BR2" s="29"/>
      <c r="BS2" s="29"/>
      <c r="BT2" s="29"/>
      <c r="BU2" s="29"/>
      <c r="BV2" s="29"/>
      <c r="BW2" s="29"/>
      <c r="BZ2" s="29"/>
      <c r="CA2" s="29"/>
      <c r="CB2" s="29"/>
      <c r="CC2" s="29"/>
      <c r="CD2" s="29"/>
      <c r="CE2" s="29"/>
      <c r="CF2" s="29"/>
      <c r="CG2" s="29"/>
      <c r="CH2" s="29"/>
      <c r="CI2" s="29"/>
      <c r="CJ2" s="29"/>
    </row>
    <row r="4" spans="1:88" x14ac:dyDescent="0.35">
      <c r="H4" s="14" t="s">
        <v>340</v>
      </c>
      <c r="I4" t="s">
        <v>344</v>
      </c>
      <c r="O4" t="s">
        <v>346</v>
      </c>
      <c r="V4" s="14" t="s">
        <v>340</v>
      </c>
      <c r="W4" t="s">
        <v>348</v>
      </c>
      <c r="AD4" s="14" t="s">
        <v>340</v>
      </c>
      <c r="AE4" t="s">
        <v>348</v>
      </c>
      <c r="AK4" s="14" t="s">
        <v>340</v>
      </c>
      <c r="AL4" t="s">
        <v>352</v>
      </c>
      <c r="AR4" s="14" t="s">
        <v>340</v>
      </c>
      <c r="AS4" t="s">
        <v>357</v>
      </c>
      <c r="AZ4" s="14" t="s">
        <v>340</v>
      </c>
      <c r="BA4" t="s">
        <v>344</v>
      </c>
      <c r="BM4" s="14" t="s">
        <v>340</v>
      </c>
      <c r="BN4" t="s">
        <v>360</v>
      </c>
      <c r="CA4" s="14" t="s">
        <v>340</v>
      </c>
      <c r="CB4" t="s">
        <v>362</v>
      </c>
    </row>
    <row r="5" spans="1:88" x14ac:dyDescent="0.35">
      <c r="B5" s="19">
        <v>1293134.81544</v>
      </c>
      <c r="H5" s="12" t="s">
        <v>132</v>
      </c>
      <c r="I5">
        <v>102</v>
      </c>
      <c r="O5" s="15">
        <v>10262.974725714286</v>
      </c>
      <c r="V5" s="12" t="s">
        <v>143</v>
      </c>
      <c r="W5">
        <v>4</v>
      </c>
      <c r="AD5" s="12" t="s">
        <v>187</v>
      </c>
      <c r="AE5">
        <v>17</v>
      </c>
      <c r="AK5" s="12" t="s">
        <v>115</v>
      </c>
      <c r="AL5">
        <v>37</v>
      </c>
      <c r="AR5" s="12" t="s">
        <v>355</v>
      </c>
      <c r="AS5" s="28">
        <v>0.35714285714285715</v>
      </c>
      <c r="AZ5" s="12" t="s">
        <v>132</v>
      </c>
      <c r="BA5" s="18">
        <v>0.80952380952380953</v>
      </c>
      <c r="BM5" s="12" t="s">
        <v>264</v>
      </c>
      <c r="BN5">
        <v>1</v>
      </c>
      <c r="CA5" s="12" t="s">
        <v>219</v>
      </c>
      <c r="CB5">
        <v>91</v>
      </c>
    </row>
    <row r="6" spans="1:88" x14ac:dyDescent="0.35">
      <c r="A6" t="s">
        <v>365</v>
      </c>
      <c r="H6" s="12" t="s">
        <v>140</v>
      </c>
      <c r="I6">
        <v>1</v>
      </c>
      <c r="V6" s="12" t="s">
        <v>253</v>
      </c>
      <c r="W6">
        <v>13</v>
      </c>
      <c r="AD6" s="12" t="s">
        <v>313</v>
      </c>
      <c r="AE6">
        <v>1</v>
      </c>
      <c r="AK6" s="12" t="s">
        <v>118</v>
      </c>
      <c r="AL6">
        <v>3</v>
      </c>
      <c r="AR6" s="12" t="s">
        <v>364</v>
      </c>
      <c r="AS6" s="28">
        <v>0.21428571428571427</v>
      </c>
      <c r="AZ6" s="12" t="s">
        <v>140</v>
      </c>
      <c r="BA6" s="18">
        <v>7.9365079365079361E-3</v>
      </c>
      <c r="BM6" s="12" t="s">
        <v>260</v>
      </c>
      <c r="BN6">
        <v>5</v>
      </c>
      <c r="CA6" s="12" t="s">
        <v>221</v>
      </c>
      <c r="CB6">
        <v>35</v>
      </c>
    </row>
    <row r="7" spans="1:88" x14ac:dyDescent="0.35">
      <c r="A7" s="21">
        <v>1293134.81544</v>
      </c>
      <c r="H7" s="12" t="s">
        <v>179</v>
      </c>
      <c r="I7">
        <v>23</v>
      </c>
      <c r="V7" s="12" t="s">
        <v>30</v>
      </c>
      <c r="W7">
        <v>9</v>
      </c>
      <c r="AD7" s="12" t="s">
        <v>107</v>
      </c>
      <c r="AE7">
        <v>93</v>
      </c>
      <c r="AK7" s="12" t="s">
        <v>147</v>
      </c>
      <c r="AL7">
        <v>1</v>
      </c>
      <c r="AR7" s="12" t="s">
        <v>356</v>
      </c>
      <c r="AS7" s="28">
        <v>0.42857142857142855</v>
      </c>
      <c r="AZ7" s="12" t="s">
        <v>179</v>
      </c>
      <c r="BA7" s="18">
        <v>0.18253968253968253</v>
      </c>
      <c r="BM7" s="12" t="s">
        <v>262</v>
      </c>
      <c r="BN7">
        <v>6</v>
      </c>
      <c r="CA7" s="12" t="s">
        <v>341</v>
      </c>
      <c r="CB7">
        <v>126</v>
      </c>
    </row>
    <row r="8" spans="1:88" x14ac:dyDescent="0.35">
      <c r="H8" s="12" t="s">
        <v>341</v>
      </c>
      <c r="I8">
        <v>126</v>
      </c>
      <c r="V8" s="12" t="s">
        <v>23</v>
      </c>
      <c r="W8">
        <v>16</v>
      </c>
      <c r="AD8" s="12" t="s">
        <v>149</v>
      </c>
      <c r="AE8">
        <v>1</v>
      </c>
      <c r="AK8" s="12" t="s">
        <v>116</v>
      </c>
      <c r="AL8">
        <v>36</v>
      </c>
      <c r="AR8" s="12" t="s">
        <v>341</v>
      </c>
      <c r="AS8" s="28">
        <v>1</v>
      </c>
      <c r="AZ8" s="12" t="s">
        <v>341</v>
      </c>
      <c r="BA8" s="18">
        <v>1</v>
      </c>
      <c r="BM8" s="12" t="s">
        <v>259</v>
      </c>
      <c r="BN8">
        <v>23</v>
      </c>
    </row>
    <row r="9" spans="1:88" x14ac:dyDescent="0.35">
      <c r="V9" s="12" t="s">
        <v>183</v>
      </c>
      <c r="W9">
        <v>3</v>
      </c>
      <c r="AD9" s="12" t="s">
        <v>314</v>
      </c>
      <c r="AE9">
        <v>1</v>
      </c>
      <c r="AK9" s="12" t="s">
        <v>139</v>
      </c>
      <c r="AL9">
        <v>9</v>
      </c>
      <c r="BM9" s="12" t="s">
        <v>143</v>
      </c>
      <c r="BN9">
        <v>4</v>
      </c>
    </row>
    <row r="10" spans="1:88" x14ac:dyDescent="0.35">
      <c r="V10" s="12" t="s">
        <v>180</v>
      </c>
      <c r="W10">
        <v>1</v>
      </c>
      <c r="AD10" s="12" t="s">
        <v>138</v>
      </c>
      <c r="AE10">
        <v>13</v>
      </c>
      <c r="AK10" s="12" t="s">
        <v>134</v>
      </c>
      <c r="AL10">
        <v>2</v>
      </c>
      <c r="BM10" s="12" t="s">
        <v>254</v>
      </c>
      <c r="BN10">
        <v>56</v>
      </c>
    </row>
    <row r="11" spans="1:88" x14ac:dyDescent="0.35">
      <c r="V11" s="12" t="s">
        <v>164</v>
      </c>
      <c r="W11">
        <v>2</v>
      </c>
      <c r="AD11" s="12" t="s">
        <v>341</v>
      </c>
      <c r="AE11">
        <v>126</v>
      </c>
      <c r="AK11" s="12" t="s">
        <v>166</v>
      </c>
      <c r="AL11">
        <v>3</v>
      </c>
      <c r="BM11" s="12" t="s">
        <v>263</v>
      </c>
      <c r="BN11">
        <v>6</v>
      </c>
    </row>
    <row r="12" spans="1:88" x14ac:dyDescent="0.35">
      <c r="V12" s="12" t="s">
        <v>6</v>
      </c>
      <c r="W12">
        <v>78</v>
      </c>
      <c r="AK12" s="12" t="s">
        <v>120</v>
      </c>
      <c r="AL12">
        <v>2</v>
      </c>
      <c r="BM12" s="12" t="s">
        <v>261</v>
      </c>
      <c r="BN12">
        <v>2</v>
      </c>
    </row>
    <row r="13" spans="1:88" x14ac:dyDescent="0.35">
      <c r="V13" s="12" t="s">
        <v>341</v>
      </c>
      <c r="W13">
        <v>126</v>
      </c>
      <c r="AK13" s="12" t="s">
        <v>158</v>
      </c>
      <c r="AL13">
        <v>2</v>
      </c>
      <c r="BM13" s="12" t="s">
        <v>351</v>
      </c>
    </row>
    <row r="14" spans="1:88" x14ac:dyDescent="0.35">
      <c r="AK14" s="12" t="s">
        <v>122</v>
      </c>
      <c r="AL14">
        <v>2</v>
      </c>
      <c r="BM14" s="12" t="s">
        <v>341</v>
      </c>
      <c r="BN14">
        <v>103</v>
      </c>
    </row>
    <row r="15" spans="1:88" x14ac:dyDescent="0.35">
      <c r="AK15" s="12" t="s">
        <v>119</v>
      </c>
      <c r="AL15">
        <v>8</v>
      </c>
    </row>
    <row r="16" spans="1:88" x14ac:dyDescent="0.35">
      <c r="AK16" s="12" t="s">
        <v>145</v>
      </c>
      <c r="AL16">
        <v>1</v>
      </c>
    </row>
    <row r="17" spans="37:38" x14ac:dyDescent="0.35">
      <c r="AK17" s="12" t="s">
        <v>150</v>
      </c>
      <c r="AL17">
        <v>1</v>
      </c>
    </row>
    <row r="18" spans="37:38" x14ac:dyDescent="0.35">
      <c r="AK18" s="12" t="s">
        <v>351</v>
      </c>
    </row>
    <row r="19" spans="37:38" x14ac:dyDescent="0.35">
      <c r="AK19" s="12" t="s">
        <v>341</v>
      </c>
      <c r="AL19">
        <v>107</v>
      </c>
    </row>
  </sheetData>
  <mergeCells count="10">
    <mergeCell ref="AZ1:BJ2"/>
    <mergeCell ref="BM1:BW2"/>
    <mergeCell ref="BZ1:CJ2"/>
    <mergeCell ref="AR1:AW2"/>
    <mergeCell ref="A1:F2"/>
    <mergeCell ref="H1:M2"/>
    <mergeCell ref="O1:T2"/>
    <mergeCell ref="V1:AA2"/>
    <mergeCell ref="AD1:AI2"/>
    <mergeCell ref="AK1:AP2"/>
  </mergeCells>
  <pageMargins left="0.7" right="0.7" top="0.75" bottom="0.75" header="0.3" footer="0.3"/>
  <pageSetup paperSize="9"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95FE-70FE-46D9-88B9-ED2E2DCAAA6E}">
  <dimension ref="A1:Z40"/>
  <sheetViews>
    <sheetView showGridLines="0" zoomScaleNormal="101" workbookViewId="0">
      <selection activeCell="Z5" sqref="Z5"/>
    </sheetView>
  </sheetViews>
  <sheetFormatPr defaultRowHeight="14.5" x14ac:dyDescent="0.35"/>
  <cols>
    <col min="1" max="3" width="7.26953125" customWidth="1"/>
    <col min="4" max="4" width="7.26953125" style="23" customWidth="1"/>
    <col min="5" max="26" width="7.26953125" customWidth="1"/>
  </cols>
  <sheetData>
    <row r="1" spans="1:26" ht="18" customHeight="1" x14ac:dyDescent="0.45">
      <c r="A1" s="24"/>
      <c r="B1" s="25"/>
      <c r="C1" s="25"/>
      <c r="D1" s="25"/>
      <c r="E1" s="25"/>
      <c r="F1" s="25"/>
      <c r="G1" s="25"/>
      <c r="H1" s="25"/>
      <c r="I1" s="25"/>
      <c r="J1" s="25"/>
      <c r="K1" s="25"/>
      <c r="L1" s="25"/>
      <c r="M1" s="25"/>
      <c r="N1" s="25"/>
      <c r="O1" s="25"/>
      <c r="P1" s="25"/>
      <c r="Q1" s="25"/>
      <c r="R1" s="25"/>
      <c r="S1" s="25"/>
      <c r="T1" s="25"/>
      <c r="U1" s="25"/>
      <c r="V1" s="25"/>
      <c r="W1" s="25"/>
      <c r="X1" s="25"/>
      <c r="Y1" s="25"/>
      <c r="Z1" s="25"/>
    </row>
    <row r="2" spans="1:26" ht="18" customHeight="1" x14ac:dyDescent="0.45">
      <c r="A2" s="25"/>
      <c r="B2" s="25"/>
      <c r="C2" s="25"/>
      <c r="D2" s="25"/>
      <c r="E2" s="25"/>
      <c r="F2" s="25"/>
      <c r="G2" s="25"/>
      <c r="H2" s="25"/>
      <c r="I2" s="25"/>
      <c r="J2" s="25"/>
      <c r="K2" s="25"/>
      <c r="L2" s="25"/>
      <c r="M2" s="25"/>
      <c r="N2" s="25"/>
      <c r="O2" s="25"/>
      <c r="P2" s="25"/>
      <c r="Q2" s="25"/>
      <c r="R2" s="25"/>
      <c r="S2" s="25"/>
      <c r="T2" s="25"/>
      <c r="U2" s="25"/>
      <c r="V2" s="25"/>
      <c r="W2" s="25"/>
      <c r="X2" s="25"/>
      <c r="Y2" s="25"/>
      <c r="Z2" s="25"/>
    </row>
    <row r="3" spans="1:26" ht="18" customHeight="1" x14ac:dyDescent="0.45">
      <c r="A3" s="2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45">
      <c r="A4" s="25"/>
      <c r="B4" s="25"/>
      <c r="C4" s="25"/>
      <c r="D4" s="25"/>
      <c r="E4" s="25"/>
      <c r="F4" s="25"/>
      <c r="G4" s="25"/>
      <c r="H4" s="25"/>
      <c r="I4" s="25"/>
      <c r="J4" s="25"/>
      <c r="K4" s="25"/>
      <c r="L4" s="25"/>
      <c r="M4" s="25"/>
      <c r="N4" s="25"/>
      <c r="O4" s="25"/>
      <c r="P4" s="25"/>
      <c r="Q4" s="25"/>
      <c r="R4" s="25"/>
      <c r="S4" s="25"/>
      <c r="T4" s="25"/>
      <c r="U4" s="25"/>
      <c r="V4" s="25"/>
      <c r="W4" s="25"/>
      <c r="X4" s="25"/>
      <c r="Y4" s="25"/>
      <c r="Z4" s="25"/>
    </row>
    <row r="5" spans="1:26" ht="18" customHeight="1" x14ac:dyDescent="0.45">
      <c r="A5" s="25"/>
      <c r="B5" s="25"/>
      <c r="C5" s="25"/>
      <c r="D5" s="25"/>
      <c r="E5" s="25"/>
      <c r="F5" s="25"/>
      <c r="G5" s="25"/>
      <c r="H5" s="25"/>
      <c r="I5" s="25"/>
      <c r="J5" s="25"/>
      <c r="K5" s="25"/>
      <c r="L5" s="25"/>
      <c r="M5" s="25"/>
      <c r="N5" s="25"/>
      <c r="O5" s="25"/>
      <c r="P5" s="25"/>
      <c r="Q5" s="25"/>
      <c r="R5" s="25"/>
      <c r="S5" s="25"/>
      <c r="T5" s="25"/>
      <c r="U5" s="25"/>
      <c r="V5" s="25"/>
      <c r="W5" s="25"/>
      <c r="X5" s="25"/>
      <c r="Y5" s="25"/>
    </row>
    <row r="6" spans="1:26" ht="18" customHeight="1" x14ac:dyDescent="0.45">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ht="18" customHeight="1" x14ac:dyDescent="0.45">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ht="18" customHeight="1" x14ac:dyDescent="0.45">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8" customHeight="1" x14ac:dyDescent="0.45">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8" customHeight="1" x14ac:dyDescent="0.4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8" customHeight="1" x14ac:dyDescent="0.4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8" customHeight="1" x14ac:dyDescent="0.4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4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8" customHeight="1" x14ac:dyDescent="0.4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8" customHeight="1" x14ac:dyDescent="0.4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8" customHeight="1" x14ac:dyDescent="0.4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8" customHeight="1" x14ac:dyDescent="0.4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8" customHeight="1" x14ac:dyDescent="0.4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8" customHeight="1" x14ac:dyDescent="0.4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8" customHeight="1" x14ac:dyDescent="0.4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8" customHeight="1" x14ac:dyDescent="0.4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8" customHeight="1" x14ac:dyDescent="0.4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8" customHeight="1" x14ac:dyDescent="0.4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8" customHeight="1" x14ac:dyDescent="0.4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8" customHeight="1" x14ac:dyDescent="0.4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8" customHeight="1" x14ac:dyDescent="0.4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8" customHeight="1" x14ac:dyDescent="0.4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s="20" customFormat="1" ht="18" customHeight="1" x14ac:dyDescent="0.45">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8" customHeight="1" x14ac:dyDescent="0.4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8" customHeight="1" x14ac:dyDescent="0.4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8" customHeight="1" x14ac:dyDescent="0.4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8" customHeight="1" x14ac:dyDescent="0.4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8" customHeight="1" x14ac:dyDescent="0.4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8" customHeight="1" x14ac:dyDescent="0.4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8" customHeight="1" x14ac:dyDescent="0.4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8" customHeight="1" x14ac:dyDescent="0.4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8" customHeight="1" x14ac:dyDescent="0.4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8" customHeight="1" x14ac:dyDescent="0.4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8" customHeight="1" x14ac:dyDescent="0.4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8" customHeight="1" x14ac:dyDescent="0.4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11A5F-8C22-498D-A643-8017F98DF0B8}">
  <dimension ref="A1:V129"/>
  <sheetViews>
    <sheetView rightToLeft="1" tabSelected="1" topLeftCell="L1" zoomScaleNormal="100" workbookViewId="0">
      <selection activeCell="V1" sqref="V1"/>
    </sheetView>
  </sheetViews>
  <sheetFormatPr defaultRowHeight="14.5" x14ac:dyDescent="0.35"/>
  <cols>
    <col min="1" max="1" width="16.7265625" bestFit="1" customWidth="1"/>
    <col min="2" max="2" width="11.26953125" bestFit="1" customWidth="1"/>
    <col min="3" max="3" width="31" bestFit="1" customWidth="1"/>
    <col min="4" max="4" width="10.453125" bestFit="1" customWidth="1"/>
    <col min="5" max="5" width="12" bestFit="1" customWidth="1"/>
    <col min="6" max="6" width="8.7265625" bestFit="1" customWidth="1"/>
    <col min="7" max="7" width="11.7265625" bestFit="1" customWidth="1"/>
    <col min="8" max="8" width="7.54296875" bestFit="1" customWidth="1"/>
    <col min="9" max="9" width="9.54296875" style="11" bestFit="1" customWidth="1"/>
    <col min="10" max="10" width="12.54296875" bestFit="1" customWidth="1"/>
    <col min="11" max="11" width="15.1796875" bestFit="1" customWidth="1"/>
    <col min="12" max="12" width="37.26953125" bestFit="1" customWidth="1"/>
    <col min="13" max="13" width="11" bestFit="1" customWidth="1"/>
    <col min="14" max="14" width="12.54296875" bestFit="1" customWidth="1"/>
    <col min="15" max="15" width="18.81640625" bestFit="1" customWidth="1"/>
    <col min="16" max="16" width="19.26953125" bestFit="1" customWidth="1"/>
    <col min="17" max="17" width="12.54296875" style="17" bestFit="1" customWidth="1"/>
    <col min="18" max="19" width="13.26953125" style="17" customWidth="1"/>
    <col min="20" max="20" width="15.453125" style="17" customWidth="1"/>
    <col min="21" max="21" width="18.453125" bestFit="1" customWidth="1"/>
    <col min="22" max="22" width="8.7265625" bestFit="1" customWidth="1"/>
  </cols>
  <sheetData>
    <row r="1" spans="1:22" x14ac:dyDescent="0.35">
      <c r="A1" t="s">
        <v>0</v>
      </c>
      <c r="B1" t="s">
        <v>217</v>
      </c>
      <c r="C1" t="s">
        <v>1</v>
      </c>
      <c r="D1" t="s">
        <v>359</v>
      </c>
      <c r="E1" t="s">
        <v>5</v>
      </c>
      <c r="F1" t="s">
        <v>315</v>
      </c>
      <c r="G1" t="s">
        <v>316</v>
      </c>
      <c r="H1" t="s">
        <v>121</v>
      </c>
      <c r="I1" s="11" t="s">
        <v>339</v>
      </c>
      <c r="J1" t="s">
        <v>124</v>
      </c>
      <c r="K1" t="s">
        <v>338</v>
      </c>
      <c r="L1" t="s">
        <v>2</v>
      </c>
      <c r="M1" t="s">
        <v>7</v>
      </c>
      <c r="N1" t="s">
        <v>256</v>
      </c>
      <c r="O1" t="s">
        <v>257</v>
      </c>
      <c r="P1" t="s">
        <v>258</v>
      </c>
      <c r="Q1" s="17" t="s">
        <v>9</v>
      </c>
      <c r="R1" s="17" t="s">
        <v>8</v>
      </c>
      <c r="S1" s="17" t="s">
        <v>3</v>
      </c>
      <c r="T1" s="17" t="s">
        <v>354</v>
      </c>
      <c r="U1" t="s">
        <v>4</v>
      </c>
      <c r="V1" t="s">
        <v>130</v>
      </c>
    </row>
    <row r="2" spans="1:22" x14ac:dyDescent="0.35">
      <c r="A2" t="s">
        <v>218</v>
      </c>
      <c r="B2" t="s">
        <v>219</v>
      </c>
      <c r="C2" t="s">
        <v>10</v>
      </c>
      <c r="D2" t="s">
        <v>259</v>
      </c>
      <c r="E2" t="s">
        <v>6</v>
      </c>
      <c r="F2" t="s">
        <v>107</v>
      </c>
      <c r="G2" s="13" t="s">
        <v>108</v>
      </c>
      <c r="H2" t="s">
        <v>108</v>
      </c>
      <c r="I2" s="11" t="s">
        <v>324</v>
      </c>
      <c r="J2" t="s">
        <v>115</v>
      </c>
      <c r="K2" t="s">
        <v>115</v>
      </c>
      <c r="L2" t="s">
        <v>11</v>
      </c>
      <c r="M2" s="15">
        <v>10160</v>
      </c>
      <c r="N2" t="s">
        <v>12</v>
      </c>
      <c r="O2">
        <v>0</v>
      </c>
      <c r="P2">
        <v>14</v>
      </c>
      <c r="Q2" s="17">
        <v>45500</v>
      </c>
      <c r="S2" s="17">
        <v>45514</v>
      </c>
      <c r="T2" s="17" t="s">
        <v>364</v>
      </c>
      <c r="U2" t="s">
        <v>214</v>
      </c>
      <c r="V2" t="s">
        <v>132</v>
      </c>
    </row>
    <row r="3" spans="1:22" x14ac:dyDescent="0.35">
      <c r="A3" t="s">
        <v>13</v>
      </c>
      <c r="B3" t="s">
        <v>219</v>
      </c>
      <c r="C3" t="s">
        <v>14</v>
      </c>
      <c r="D3" t="s">
        <v>260</v>
      </c>
      <c r="E3" t="s">
        <v>6</v>
      </c>
      <c r="F3" t="s">
        <v>107</v>
      </c>
      <c r="G3" s="13" t="s">
        <v>108</v>
      </c>
      <c r="H3" t="s">
        <v>108</v>
      </c>
      <c r="I3" s="11" t="s">
        <v>324</v>
      </c>
      <c r="J3" t="s">
        <v>116</v>
      </c>
      <c r="K3" t="s">
        <v>116</v>
      </c>
      <c r="L3" t="s">
        <v>15</v>
      </c>
      <c r="M3" s="15">
        <v>10160</v>
      </c>
      <c r="N3" t="s">
        <v>255</v>
      </c>
      <c r="O3">
        <v>0</v>
      </c>
      <c r="P3">
        <v>14</v>
      </c>
      <c r="Q3" s="17">
        <v>45501</v>
      </c>
      <c r="S3" s="17">
        <v>45515</v>
      </c>
      <c r="T3" s="17" t="s">
        <v>364</v>
      </c>
      <c r="U3" t="s">
        <v>214</v>
      </c>
      <c r="V3" t="s">
        <v>132</v>
      </c>
    </row>
    <row r="4" spans="1:22" x14ac:dyDescent="0.35">
      <c r="A4" t="s">
        <v>16</v>
      </c>
      <c r="B4" t="s">
        <v>219</v>
      </c>
      <c r="C4" t="s">
        <v>17</v>
      </c>
      <c r="D4" t="s">
        <v>261</v>
      </c>
      <c r="E4" t="s">
        <v>6</v>
      </c>
      <c r="F4" t="s">
        <v>107</v>
      </c>
      <c r="G4" s="13" t="s">
        <v>317</v>
      </c>
      <c r="H4" t="s">
        <v>111</v>
      </c>
      <c r="I4" s="11" t="s">
        <v>325</v>
      </c>
      <c r="J4" t="s">
        <v>118</v>
      </c>
      <c r="K4" t="s">
        <v>118</v>
      </c>
      <c r="L4" t="s">
        <v>18</v>
      </c>
      <c r="M4" s="15">
        <v>11455</v>
      </c>
      <c r="N4" t="s">
        <v>255</v>
      </c>
      <c r="O4">
        <v>0</v>
      </c>
      <c r="P4">
        <v>0</v>
      </c>
      <c r="Q4" s="17">
        <v>45500</v>
      </c>
      <c r="T4" s="17" t="s">
        <v>364</v>
      </c>
      <c r="V4" t="s">
        <v>179</v>
      </c>
    </row>
    <row r="5" spans="1:22" x14ac:dyDescent="0.35">
      <c r="A5" t="s">
        <v>19</v>
      </c>
      <c r="B5" t="s">
        <v>219</v>
      </c>
      <c r="C5" t="s">
        <v>20</v>
      </c>
      <c r="D5" t="s">
        <v>262</v>
      </c>
      <c r="E5" t="s">
        <v>6</v>
      </c>
      <c r="F5" t="s">
        <v>187</v>
      </c>
      <c r="G5" s="13" t="s">
        <v>318</v>
      </c>
      <c r="H5" t="s">
        <v>317</v>
      </c>
      <c r="I5" s="11" t="s">
        <v>324</v>
      </c>
      <c r="K5" t="s">
        <v>324</v>
      </c>
      <c r="L5" t="s">
        <v>21</v>
      </c>
      <c r="M5" s="15">
        <v>8642</v>
      </c>
      <c r="N5" t="s">
        <v>12</v>
      </c>
      <c r="O5">
        <v>13</v>
      </c>
      <c r="P5">
        <v>2</v>
      </c>
      <c r="Q5" s="17">
        <v>45529</v>
      </c>
      <c r="R5" s="17">
        <v>45542</v>
      </c>
      <c r="S5" s="17">
        <v>45531</v>
      </c>
      <c r="T5"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 t="s">
        <v>214</v>
      </c>
      <c r="V5" t="s">
        <v>132</v>
      </c>
    </row>
    <row r="6" spans="1:22" x14ac:dyDescent="0.35">
      <c r="A6" t="s">
        <v>220</v>
      </c>
      <c r="B6" t="s">
        <v>219</v>
      </c>
      <c r="C6" t="s">
        <v>17</v>
      </c>
      <c r="D6" t="s">
        <v>261</v>
      </c>
      <c r="E6" t="s">
        <v>6</v>
      </c>
      <c r="F6" t="s">
        <v>107</v>
      </c>
      <c r="G6" s="13" t="s">
        <v>317</v>
      </c>
      <c r="H6" t="s">
        <v>109</v>
      </c>
      <c r="I6" s="11" t="s">
        <v>326</v>
      </c>
      <c r="J6" t="s">
        <v>119</v>
      </c>
      <c r="K6" t="s">
        <v>119</v>
      </c>
      <c r="L6" t="s">
        <v>22</v>
      </c>
      <c r="M6" s="15">
        <v>12833</v>
      </c>
      <c r="N6" t="s">
        <v>255</v>
      </c>
      <c r="O6">
        <v>15</v>
      </c>
      <c r="P6">
        <v>0</v>
      </c>
      <c r="Q6" s="17">
        <v>45520</v>
      </c>
      <c r="R6" s="17">
        <v>45535</v>
      </c>
      <c r="T6" s="17" t="s">
        <v>364</v>
      </c>
      <c r="V6" t="s">
        <v>179</v>
      </c>
    </row>
    <row r="7" spans="1:22" x14ac:dyDescent="0.35">
      <c r="A7" t="s">
        <v>37</v>
      </c>
      <c r="B7" t="s">
        <v>221</v>
      </c>
      <c r="E7" t="s">
        <v>23</v>
      </c>
      <c r="F7" t="s">
        <v>107</v>
      </c>
      <c r="G7" s="13" t="s">
        <v>317</v>
      </c>
      <c r="H7" t="s">
        <v>317</v>
      </c>
      <c r="I7" s="11" t="s">
        <v>324</v>
      </c>
      <c r="J7" t="s">
        <v>119</v>
      </c>
      <c r="K7" t="s">
        <v>119</v>
      </c>
      <c r="L7" t="s">
        <v>24</v>
      </c>
      <c r="M7" s="15">
        <v>14550</v>
      </c>
      <c r="N7" t="s">
        <v>12</v>
      </c>
      <c r="O7">
        <v>20</v>
      </c>
      <c r="P7">
        <v>22</v>
      </c>
      <c r="Q7" s="17">
        <v>45518</v>
      </c>
      <c r="R7" s="17">
        <v>45538</v>
      </c>
      <c r="S7" s="17">
        <v>45540</v>
      </c>
      <c r="T7" s="17" t="str">
        <f>IF(OR(LEN(TRIM(table2[[#This Row],[تاريخ التسليم]]))=0,LEN(TRIM(table2[[#This Row],[ميعاد التسليم]]))=0),"",IF(table2[[#This Row],[تاريخ التسليم]]&lt;=table2[[#This Row],[ميعاد التسليم]],"تم التسليم في الموعد","متأخر"))</f>
        <v>متأخر</v>
      </c>
      <c r="U7" t="s">
        <v>214</v>
      </c>
      <c r="V7" t="s">
        <v>132</v>
      </c>
    </row>
    <row r="8" spans="1:22" x14ac:dyDescent="0.35">
      <c r="A8" t="s">
        <v>222</v>
      </c>
      <c r="B8" t="s">
        <v>219</v>
      </c>
      <c r="C8" t="s">
        <v>25</v>
      </c>
      <c r="D8" t="s">
        <v>254</v>
      </c>
      <c r="E8" t="s">
        <v>183</v>
      </c>
      <c r="F8" t="s">
        <v>107</v>
      </c>
      <c r="G8" s="13" t="s">
        <v>317</v>
      </c>
      <c r="H8" t="s">
        <v>317</v>
      </c>
      <c r="I8" s="11" t="s">
        <v>324</v>
      </c>
      <c r="J8" t="s">
        <v>119</v>
      </c>
      <c r="K8" t="s">
        <v>119</v>
      </c>
      <c r="L8" t="s">
        <v>24</v>
      </c>
      <c r="M8" s="15">
        <v>12000</v>
      </c>
      <c r="N8" t="s">
        <v>255</v>
      </c>
      <c r="O8">
        <v>3</v>
      </c>
      <c r="P8">
        <v>2</v>
      </c>
      <c r="Q8" s="17">
        <v>45521</v>
      </c>
      <c r="R8" s="17">
        <v>45524</v>
      </c>
      <c r="S8" s="17">
        <v>45523</v>
      </c>
      <c r="T8"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 t="s">
        <v>214</v>
      </c>
      <c r="V8" t="s">
        <v>132</v>
      </c>
    </row>
    <row r="9" spans="1:22" x14ac:dyDescent="0.35">
      <c r="A9" t="s">
        <v>26</v>
      </c>
      <c r="B9" t="s">
        <v>219</v>
      </c>
      <c r="C9" t="s">
        <v>27</v>
      </c>
      <c r="D9" t="s">
        <v>259</v>
      </c>
      <c r="E9" t="s">
        <v>6</v>
      </c>
      <c r="F9" t="s">
        <v>107</v>
      </c>
      <c r="G9" s="13" t="s">
        <v>319</v>
      </c>
      <c r="H9" t="s">
        <v>317</v>
      </c>
      <c r="I9" s="11" t="s">
        <v>324</v>
      </c>
      <c r="J9" t="s">
        <v>115</v>
      </c>
      <c r="K9" t="s">
        <v>115</v>
      </c>
      <c r="L9" t="s">
        <v>28</v>
      </c>
      <c r="M9" s="15">
        <v>7228</v>
      </c>
      <c r="N9" t="s">
        <v>12</v>
      </c>
      <c r="O9">
        <v>9</v>
      </c>
      <c r="P9">
        <v>16</v>
      </c>
      <c r="Q9" s="17">
        <v>45529</v>
      </c>
      <c r="R9" s="17">
        <v>45538</v>
      </c>
      <c r="S9" s="17">
        <v>45545</v>
      </c>
      <c r="T9" s="17" t="str">
        <f>IF(OR(LEN(TRIM(table2[[#This Row],[تاريخ التسليم]]))=0,LEN(TRIM(table2[[#This Row],[ميعاد التسليم]]))=0),"",IF(table2[[#This Row],[تاريخ التسليم]]&lt;=table2[[#This Row],[ميعاد التسليم]],"تم التسليم في الموعد","متأخر"))</f>
        <v>متأخر</v>
      </c>
      <c r="U9" t="s">
        <v>214</v>
      </c>
      <c r="V9" t="s">
        <v>132</v>
      </c>
    </row>
    <row r="10" spans="1:22" x14ac:dyDescent="0.35">
      <c r="A10" t="s">
        <v>30</v>
      </c>
      <c r="B10" t="s">
        <v>221</v>
      </c>
      <c r="C10" t="s">
        <v>29</v>
      </c>
      <c r="D10" t="s">
        <v>254</v>
      </c>
      <c r="E10" t="s">
        <v>30</v>
      </c>
      <c r="F10" t="s">
        <v>313</v>
      </c>
      <c r="G10" s="13" t="s">
        <v>320</v>
      </c>
      <c r="H10" t="s">
        <v>317</v>
      </c>
      <c r="I10" s="11" t="s">
        <v>324</v>
      </c>
      <c r="K10" t="s">
        <v>324</v>
      </c>
      <c r="L10" t="s">
        <v>113</v>
      </c>
      <c r="M10" s="15">
        <v>22000</v>
      </c>
      <c r="N10" t="s">
        <v>255</v>
      </c>
      <c r="O10">
        <v>13</v>
      </c>
      <c r="P10">
        <v>29</v>
      </c>
      <c r="Q10" s="17">
        <v>45523</v>
      </c>
      <c r="R10" s="17">
        <v>45536</v>
      </c>
      <c r="S10" s="17">
        <v>45552</v>
      </c>
      <c r="T10" s="17" t="str">
        <f>IF(OR(LEN(TRIM(table2[[#This Row],[تاريخ التسليم]]))=0,LEN(TRIM(table2[[#This Row],[ميعاد التسليم]]))=0),"",IF(table2[[#This Row],[تاريخ التسليم]]&lt;=table2[[#This Row],[ميعاد التسليم]],"تم التسليم في الموعد","متأخر"))</f>
        <v>متأخر</v>
      </c>
      <c r="V10" t="s">
        <v>132</v>
      </c>
    </row>
    <row r="11" spans="1:22" x14ac:dyDescent="0.35">
      <c r="A11" t="s">
        <v>30</v>
      </c>
      <c r="B11" t="s">
        <v>221</v>
      </c>
      <c r="C11" t="s">
        <v>29</v>
      </c>
      <c r="D11" t="s">
        <v>254</v>
      </c>
      <c r="E11" t="s">
        <v>30</v>
      </c>
      <c r="F11" t="s">
        <v>138</v>
      </c>
      <c r="G11" s="13" t="s">
        <v>321</v>
      </c>
      <c r="H11" t="s">
        <v>317</v>
      </c>
      <c r="I11" s="11" t="s">
        <v>324</v>
      </c>
      <c r="K11" t="s">
        <v>324</v>
      </c>
      <c r="L11" t="s">
        <v>31</v>
      </c>
      <c r="M11" s="15">
        <v>16000</v>
      </c>
      <c r="N11" t="s">
        <v>255</v>
      </c>
      <c r="O11">
        <v>0</v>
      </c>
      <c r="P11">
        <v>0</v>
      </c>
      <c r="T11" s="17" t="s">
        <v>364</v>
      </c>
      <c r="V11" t="s">
        <v>179</v>
      </c>
    </row>
    <row r="12" spans="1:22" x14ac:dyDescent="0.35">
      <c r="A12" t="s">
        <v>30</v>
      </c>
      <c r="B12" t="s">
        <v>221</v>
      </c>
      <c r="C12" t="s">
        <v>32</v>
      </c>
      <c r="D12" t="s">
        <v>254</v>
      </c>
      <c r="E12" t="s">
        <v>30</v>
      </c>
      <c r="F12" t="s">
        <v>138</v>
      </c>
      <c r="G12" s="13" t="s">
        <v>321</v>
      </c>
      <c r="H12" t="s">
        <v>317</v>
      </c>
      <c r="I12" s="11" t="s">
        <v>324</v>
      </c>
      <c r="K12" t="s">
        <v>324</v>
      </c>
      <c r="L12" t="s">
        <v>33</v>
      </c>
      <c r="M12" s="15">
        <v>6000</v>
      </c>
      <c r="N12" t="s">
        <v>255</v>
      </c>
      <c r="O12">
        <v>21</v>
      </c>
      <c r="P12">
        <v>23</v>
      </c>
      <c r="Q12" s="17">
        <v>45529</v>
      </c>
      <c r="R12" s="17">
        <v>45550</v>
      </c>
      <c r="S12" s="17">
        <v>45552</v>
      </c>
      <c r="T12" s="17" t="str">
        <f>IF(OR(LEN(TRIM(table2[[#This Row],[تاريخ التسليم]]))=0,LEN(TRIM(table2[[#This Row],[ميعاد التسليم]]))=0),"",IF(table2[[#This Row],[تاريخ التسليم]]&lt;=table2[[#This Row],[ميعاد التسليم]],"تم التسليم في الموعد","متأخر"))</f>
        <v>متأخر</v>
      </c>
      <c r="U12" t="s">
        <v>216</v>
      </c>
      <c r="V12" t="s">
        <v>132</v>
      </c>
    </row>
    <row r="13" spans="1:22" x14ac:dyDescent="0.35">
      <c r="A13" t="s">
        <v>30</v>
      </c>
      <c r="B13" t="s">
        <v>221</v>
      </c>
      <c r="C13" t="s">
        <v>32</v>
      </c>
      <c r="D13" t="s">
        <v>254</v>
      </c>
      <c r="E13" t="s">
        <v>30</v>
      </c>
      <c r="F13" t="s">
        <v>138</v>
      </c>
      <c r="G13" s="13" t="s">
        <v>321</v>
      </c>
      <c r="H13" t="s">
        <v>317</v>
      </c>
      <c r="I13" s="11" t="s">
        <v>324</v>
      </c>
      <c r="K13" t="s">
        <v>324</v>
      </c>
      <c r="L13" t="s">
        <v>33</v>
      </c>
      <c r="M13" s="15">
        <v>6000</v>
      </c>
      <c r="N13" t="s">
        <v>255</v>
      </c>
      <c r="O13">
        <v>21</v>
      </c>
      <c r="P13">
        <v>23</v>
      </c>
      <c r="Q13" s="17">
        <v>45529</v>
      </c>
      <c r="R13" s="17">
        <v>45550</v>
      </c>
      <c r="S13" s="17">
        <v>45552</v>
      </c>
      <c r="T13" s="17" t="str">
        <f>IF(OR(LEN(TRIM(table2[[#This Row],[تاريخ التسليم]]))=0,LEN(TRIM(table2[[#This Row],[ميعاد التسليم]]))=0),"",IF(table2[[#This Row],[تاريخ التسليم]]&lt;=table2[[#This Row],[ميعاد التسليم]],"تم التسليم في الموعد","متأخر"))</f>
        <v>متأخر</v>
      </c>
      <c r="U13" t="s">
        <v>216</v>
      </c>
      <c r="V13" t="s">
        <v>132</v>
      </c>
    </row>
    <row r="14" spans="1:22" x14ac:dyDescent="0.35">
      <c r="A14" t="s">
        <v>223</v>
      </c>
      <c r="B14" t="s">
        <v>219</v>
      </c>
      <c r="C14" t="s">
        <v>34</v>
      </c>
      <c r="D14" t="s">
        <v>254</v>
      </c>
      <c r="E14" t="s">
        <v>6</v>
      </c>
      <c r="F14" t="s">
        <v>107</v>
      </c>
      <c r="G14" s="13" t="s">
        <v>317</v>
      </c>
      <c r="H14" t="s">
        <v>109</v>
      </c>
      <c r="I14" s="11" t="s">
        <v>327</v>
      </c>
      <c r="J14" t="s">
        <v>115</v>
      </c>
      <c r="K14" t="s">
        <v>115</v>
      </c>
      <c r="L14" t="s">
        <v>35</v>
      </c>
      <c r="M14" s="15">
        <v>10499</v>
      </c>
      <c r="N14" t="s">
        <v>255</v>
      </c>
      <c r="O14">
        <v>15</v>
      </c>
      <c r="P14">
        <v>7</v>
      </c>
      <c r="Q14" s="17">
        <v>45536</v>
      </c>
      <c r="R14" s="17">
        <v>45551</v>
      </c>
      <c r="S14" s="17">
        <v>45543</v>
      </c>
      <c r="T14"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4" t="s">
        <v>214</v>
      </c>
      <c r="V14" t="s">
        <v>132</v>
      </c>
    </row>
    <row r="15" spans="1:22" x14ac:dyDescent="0.35">
      <c r="A15" t="s">
        <v>224</v>
      </c>
      <c r="B15" t="s">
        <v>219</v>
      </c>
      <c r="C15" t="s">
        <v>27</v>
      </c>
      <c r="D15" t="s">
        <v>259</v>
      </c>
      <c r="E15" t="s">
        <v>6</v>
      </c>
      <c r="F15" t="s">
        <v>107</v>
      </c>
      <c r="G15" s="13" t="s">
        <v>319</v>
      </c>
      <c r="H15" t="s">
        <v>317</v>
      </c>
      <c r="I15" s="11" t="s">
        <v>327</v>
      </c>
      <c r="J15" t="s">
        <v>115</v>
      </c>
      <c r="K15" t="s">
        <v>115</v>
      </c>
      <c r="L15" t="s">
        <v>47</v>
      </c>
      <c r="M15" s="15">
        <v>7295</v>
      </c>
      <c r="N15" t="s">
        <v>255</v>
      </c>
      <c r="O15">
        <v>9</v>
      </c>
      <c r="P15">
        <v>0</v>
      </c>
      <c r="Q15" s="17">
        <v>45540</v>
      </c>
      <c r="R15" s="17">
        <v>45549</v>
      </c>
      <c r="T15" s="17" t="s">
        <v>364</v>
      </c>
      <c r="V15" t="s">
        <v>179</v>
      </c>
    </row>
    <row r="16" spans="1:22" x14ac:dyDescent="0.35">
      <c r="A16" t="s">
        <v>225</v>
      </c>
      <c r="B16" t="s">
        <v>219</v>
      </c>
      <c r="C16" t="s">
        <v>44</v>
      </c>
      <c r="D16" t="s">
        <v>254</v>
      </c>
      <c r="E16" t="s">
        <v>6</v>
      </c>
      <c r="F16" t="s">
        <v>187</v>
      </c>
      <c r="G16" s="13" t="s">
        <v>317</v>
      </c>
      <c r="H16" t="s">
        <v>317</v>
      </c>
      <c r="I16" s="11" t="s">
        <v>324</v>
      </c>
      <c r="K16" t="s">
        <v>324</v>
      </c>
      <c r="L16" t="s">
        <v>45</v>
      </c>
      <c r="M16" s="15">
        <v>7849</v>
      </c>
      <c r="N16" t="s">
        <v>12</v>
      </c>
      <c r="O16">
        <v>12</v>
      </c>
      <c r="P16">
        <v>21</v>
      </c>
      <c r="Q16" s="17">
        <v>45539</v>
      </c>
      <c r="R16" s="17">
        <v>45551</v>
      </c>
      <c r="S16" s="17">
        <v>45560</v>
      </c>
      <c r="T16" s="17" t="str">
        <f>IF(OR(LEN(TRIM(table2[[#This Row],[تاريخ التسليم]]))=0,LEN(TRIM(table2[[#This Row],[ميعاد التسليم]]))=0),"",IF(table2[[#This Row],[تاريخ التسليم]]&lt;=table2[[#This Row],[ميعاد التسليم]],"تم التسليم في الموعد","متأخر"))</f>
        <v>متأخر</v>
      </c>
      <c r="U16" t="s">
        <v>214</v>
      </c>
      <c r="V16" t="s">
        <v>140</v>
      </c>
    </row>
    <row r="17" spans="1:22" x14ac:dyDescent="0.35">
      <c r="A17" t="s">
        <v>226</v>
      </c>
      <c r="B17" t="s">
        <v>219</v>
      </c>
      <c r="C17" t="s">
        <v>39</v>
      </c>
      <c r="D17" t="s">
        <v>254</v>
      </c>
      <c r="E17" t="s">
        <v>253</v>
      </c>
      <c r="F17" t="s">
        <v>107</v>
      </c>
      <c r="G17" s="13" t="s">
        <v>317</v>
      </c>
      <c r="H17" t="s">
        <v>111</v>
      </c>
      <c r="I17" s="11" t="s">
        <v>328</v>
      </c>
      <c r="J17" t="s">
        <v>116</v>
      </c>
      <c r="K17" t="s">
        <v>116</v>
      </c>
      <c r="L17" t="s">
        <v>40</v>
      </c>
      <c r="M17" s="15">
        <v>6180</v>
      </c>
      <c r="N17" t="s">
        <v>255</v>
      </c>
      <c r="O17">
        <v>13</v>
      </c>
      <c r="P17">
        <v>12</v>
      </c>
      <c r="Q17" s="17">
        <v>45538</v>
      </c>
      <c r="R17" s="17">
        <v>45551</v>
      </c>
      <c r="S17" s="17">
        <v>45550</v>
      </c>
      <c r="T17"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7" t="s">
        <v>216</v>
      </c>
      <c r="V17" t="s">
        <v>132</v>
      </c>
    </row>
    <row r="18" spans="1:22" x14ac:dyDescent="0.35">
      <c r="A18" t="s">
        <v>226</v>
      </c>
      <c r="B18" t="s">
        <v>219</v>
      </c>
      <c r="C18" t="s">
        <v>39</v>
      </c>
      <c r="D18" t="s">
        <v>254</v>
      </c>
      <c r="E18" t="s">
        <v>253</v>
      </c>
      <c r="F18" t="s">
        <v>107</v>
      </c>
      <c r="G18" s="13" t="s">
        <v>317</v>
      </c>
      <c r="H18" t="s">
        <v>111</v>
      </c>
      <c r="I18" s="11" t="s">
        <v>328</v>
      </c>
      <c r="J18" t="s">
        <v>116</v>
      </c>
      <c r="K18" t="s">
        <v>116</v>
      </c>
      <c r="L18" t="s">
        <v>40</v>
      </c>
      <c r="M18" s="15">
        <v>6180</v>
      </c>
      <c r="N18" t="s">
        <v>255</v>
      </c>
      <c r="O18">
        <v>13</v>
      </c>
      <c r="P18">
        <v>12</v>
      </c>
      <c r="Q18" s="17">
        <v>45538</v>
      </c>
      <c r="R18" s="17">
        <v>45551</v>
      </c>
      <c r="S18" s="17">
        <v>45550</v>
      </c>
      <c r="T18"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8" t="s">
        <v>216</v>
      </c>
      <c r="V18" t="s">
        <v>132</v>
      </c>
    </row>
    <row r="19" spans="1:22" x14ac:dyDescent="0.35">
      <c r="A19" t="s">
        <v>41</v>
      </c>
      <c r="B19" t="s">
        <v>219</v>
      </c>
      <c r="C19" t="s">
        <v>42</v>
      </c>
      <c r="D19" t="s">
        <v>254</v>
      </c>
      <c r="E19" t="s">
        <v>6</v>
      </c>
      <c r="F19" t="s">
        <v>107</v>
      </c>
      <c r="G19" s="13" t="s">
        <v>317</v>
      </c>
      <c r="H19" t="s">
        <v>110</v>
      </c>
      <c r="I19" s="11" t="s">
        <v>327</v>
      </c>
      <c r="J19" t="s">
        <v>115</v>
      </c>
      <c r="K19" t="s">
        <v>115</v>
      </c>
      <c r="L19" t="s">
        <v>43</v>
      </c>
      <c r="M19" s="15">
        <v>11199</v>
      </c>
      <c r="N19" t="s">
        <v>255</v>
      </c>
      <c r="O19">
        <v>14</v>
      </c>
      <c r="P19">
        <v>0</v>
      </c>
      <c r="Q19" s="17">
        <v>45539</v>
      </c>
      <c r="R19" s="17">
        <v>45553</v>
      </c>
      <c r="T19" s="17" t="s">
        <v>364</v>
      </c>
      <c r="V19" t="s">
        <v>179</v>
      </c>
    </row>
    <row r="20" spans="1:22" x14ac:dyDescent="0.35">
      <c r="A20" t="s">
        <v>222</v>
      </c>
      <c r="B20" t="s">
        <v>219</v>
      </c>
      <c r="C20" t="s">
        <v>48</v>
      </c>
      <c r="D20" t="s">
        <v>254</v>
      </c>
      <c r="E20" t="s">
        <v>6</v>
      </c>
      <c r="F20" t="s">
        <v>107</v>
      </c>
      <c r="G20" s="13" t="s">
        <v>319</v>
      </c>
      <c r="H20" t="s">
        <v>317</v>
      </c>
      <c r="I20" s="11" t="s">
        <v>327</v>
      </c>
      <c r="J20" t="s">
        <v>115</v>
      </c>
      <c r="K20" t="s">
        <v>115</v>
      </c>
      <c r="L20" t="s">
        <v>49</v>
      </c>
      <c r="M20" s="15">
        <v>7987</v>
      </c>
      <c r="N20" t="s">
        <v>12</v>
      </c>
      <c r="O20">
        <v>10</v>
      </c>
      <c r="P20">
        <v>15</v>
      </c>
      <c r="Q20" s="17">
        <v>45541</v>
      </c>
      <c r="R20" s="17">
        <v>45551</v>
      </c>
      <c r="S20" s="17">
        <v>45556</v>
      </c>
      <c r="T20" s="17" t="str">
        <f>IF(OR(LEN(TRIM(table2[[#This Row],[تاريخ التسليم]]))=0,LEN(TRIM(table2[[#This Row],[ميعاد التسليم]]))=0),"",IF(table2[[#This Row],[تاريخ التسليم]]&lt;=table2[[#This Row],[ميعاد التسليم]],"تم التسليم في الموعد","متأخر"))</f>
        <v>متأخر</v>
      </c>
      <c r="U20" t="s">
        <v>216</v>
      </c>
      <c r="V20" t="s">
        <v>132</v>
      </c>
    </row>
    <row r="21" spans="1:22" x14ac:dyDescent="0.35">
      <c r="A21" t="s">
        <v>30</v>
      </c>
      <c r="B21" t="s">
        <v>221</v>
      </c>
      <c r="C21" t="s">
        <v>29</v>
      </c>
      <c r="D21" t="s">
        <v>254</v>
      </c>
      <c r="E21" t="s">
        <v>30</v>
      </c>
      <c r="F21" t="s">
        <v>314</v>
      </c>
      <c r="G21" s="13" t="s">
        <v>146</v>
      </c>
      <c r="H21" t="s">
        <v>146</v>
      </c>
      <c r="I21" s="11" t="s">
        <v>324</v>
      </c>
      <c r="K21" t="s">
        <v>324</v>
      </c>
      <c r="L21" t="s">
        <v>46</v>
      </c>
      <c r="M21" s="15">
        <v>9300</v>
      </c>
      <c r="N21" t="s">
        <v>255</v>
      </c>
      <c r="O21">
        <v>11</v>
      </c>
      <c r="P21">
        <v>13</v>
      </c>
      <c r="Q21" s="17">
        <v>45539</v>
      </c>
      <c r="R21" s="17">
        <v>45550</v>
      </c>
      <c r="S21" s="17">
        <v>45552</v>
      </c>
      <c r="T21" s="17" t="str">
        <f>IF(OR(LEN(TRIM(table2[[#This Row],[تاريخ التسليم]]))=0,LEN(TRIM(table2[[#This Row],[ميعاد التسليم]]))=0),"",IF(table2[[#This Row],[تاريخ التسليم]]&lt;=table2[[#This Row],[ميعاد التسليم]],"تم التسليم في الموعد","متأخر"))</f>
        <v>متأخر</v>
      </c>
      <c r="U21" t="s">
        <v>216</v>
      </c>
      <c r="V21" t="s">
        <v>132</v>
      </c>
    </row>
    <row r="22" spans="1:22" x14ac:dyDescent="0.35">
      <c r="A22" t="s">
        <v>222</v>
      </c>
      <c r="B22" t="s">
        <v>219</v>
      </c>
      <c r="C22" t="s">
        <v>48</v>
      </c>
      <c r="D22" t="s">
        <v>254</v>
      </c>
      <c r="E22" t="s">
        <v>6</v>
      </c>
      <c r="F22" t="s">
        <v>107</v>
      </c>
      <c r="G22" s="13" t="s">
        <v>319</v>
      </c>
      <c r="H22" t="s">
        <v>317</v>
      </c>
      <c r="I22" s="11" t="s">
        <v>327</v>
      </c>
      <c r="J22" t="s">
        <v>115</v>
      </c>
      <c r="K22" t="s">
        <v>115</v>
      </c>
      <c r="L22" t="s">
        <v>49</v>
      </c>
      <c r="M22" s="15">
        <v>7987</v>
      </c>
      <c r="N22" t="s">
        <v>12</v>
      </c>
      <c r="O22">
        <v>10</v>
      </c>
      <c r="P22">
        <v>15</v>
      </c>
      <c r="Q22" s="17">
        <v>45541</v>
      </c>
      <c r="R22" s="17">
        <v>45551</v>
      </c>
      <c r="S22" s="17">
        <v>45556</v>
      </c>
      <c r="T22" s="17" t="str">
        <f>IF(OR(LEN(TRIM(table2[[#This Row],[تاريخ التسليم]]))=0,LEN(TRIM(table2[[#This Row],[ميعاد التسليم]]))=0),"",IF(table2[[#This Row],[تاريخ التسليم]]&lt;=table2[[#This Row],[ميعاد التسليم]],"تم التسليم في الموعد","متأخر"))</f>
        <v>متأخر</v>
      </c>
      <c r="U22" t="s">
        <v>216</v>
      </c>
      <c r="V22" t="s">
        <v>132</v>
      </c>
    </row>
    <row r="23" spans="1:22" x14ac:dyDescent="0.35">
      <c r="A23" t="s">
        <v>222</v>
      </c>
      <c r="B23" t="s">
        <v>219</v>
      </c>
      <c r="C23" t="s">
        <v>48</v>
      </c>
      <c r="D23" t="s">
        <v>254</v>
      </c>
      <c r="E23" t="s">
        <v>6</v>
      </c>
      <c r="F23" t="s">
        <v>107</v>
      </c>
      <c r="G23" s="13" t="s">
        <v>319</v>
      </c>
      <c r="H23" t="s">
        <v>317</v>
      </c>
      <c r="I23" s="11" t="s">
        <v>327</v>
      </c>
      <c r="J23" t="s">
        <v>115</v>
      </c>
      <c r="K23" t="s">
        <v>115</v>
      </c>
      <c r="L23" t="s">
        <v>49</v>
      </c>
      <c r="M23" s="15">
        <v>7987</v>
      </c>
      <c r="N23" t="s">
        <v>12</v>
      </c>
      <c r="O23">
        <v>10</v>
      </c>
      <c r="P23">
        <v>15</v>
      </c>
      <c r="Q23" s="17">
        <v>45541</v>
      </c>
      <c r="R23" s="17">
        <v>45551</v>
      </c>
      <c r="S23" s="17">
        <v>45556</v>
      </c>
      <c r="T23" s="17" t="str">
        <f>IF(OR(LEN(TRIM(table2[[#This Row],[تاريخ التسليم]]))=0,LEN(TRIM(table2[[#This Row],[ميعاد التسليم]]))=0),"",IF(table2[[#This Row],[تاريخ التسليم]]&lt;=table2[[#This Row],[ميعاد التسليم]],"تم التسليم في الموعد","متأخر"))</f>
        <v>متأخر</v>
      </c>
      <c r="U23" t="s">
        <v>216</v>
      </c>
      <c r="V23" t="s">
        <v>132</v>
      </c>
    </row>
    <row r="24" spans="1:22" x14ac:dyDescent="0.35">
      <c r="A24" t="s">
        <v>222</v>
      </c>
      <c r="B24" t="s">
        <v>219</v>
      </c>
      <c r="C24" t="s">
        <v>48</v>
      </c>
      <c r="D24" t="s">
        <v>254</v>
      </c>
      <c r="E24" t="s">
        <v>6</v>
      </c>
      <c r="F24" t="s">
        <v>107</v>
      </c>
      <c r="G24" s="13" t="s">
        <v>319</v>
      </c>
      <c r="H24" t="s">
        <v>317</v>
      </c>
      <c r="I24" s="11" t="s">
        <v>327</v>
      </c>
      <c r="J24" t="s">
        <v>115</v>
      </c>
      <c r="K24" t="s">
        <v>115</v>
      </c>
      <c r="L24" t="s">
        <v>49</v>
      </c>
      <c r="M24" s="15">
        <v>7987</v>
      </c>
      <c r="N24" t="s">
        <v>12</v>
      </c>
      <c r="O24">
        <v>10</v>
      </c>
      <c r="P24">
        <v>15</v>
      </c>
      <c r="Q24" s="17">
        <v>45541</v>
      </c>
      <c r="R24" s="17">
        <v>45551</v>
      </c>
      <c r="S24" s="17">
        <v>45556</v>
      </c>
      <c r="T24" s="17" t="str">
        <f>IF(OR(LEN(TRIM(table2[[#This Row],[تاريخ التسليم]]))=0,LEN(TRIM(table2[[#This Row],[ميعاد التسليم]]))=0),"",IF(table2[[#This Row],[تاريخ التسليم]]&lt;=table2[[#This Row],[ميعاد التسليم]],"تم التسليم في الموعد","متأخر"))</f>
        <v>متأخر</v>
      </c>
      <c r="U24" t="s">
        <v>216</v>
      </c>
      <c r="V24" t="s">
        <v>132</v>
      </c>
    </row>
    <row r="25" spans="1:22" x14ac:dyDescent="0.35">
      <c r="A25" t="s">
        <v>77</v>
      </c>
      <c r="B25" t="s">
        <v>219</v>
      </c>
      <c r="C25" t="s">
        <v>78</v>
      </c>
      <c r="D25" t="s">
        <v>254</v>
      </c>
      <c r="E25" t="s">
        <v>6</v>
      </c>
      <c r="F25" t="s">
        <v>187</v>
      </c>
      <c r="G25" s="13" t="s">
        <v>317</v>
      </c>
      <c r="H25" t="s">
        <v>317</v>
      </c>
      <c r="I25" s="11" t="s">
        <v>324</v>
      </c>
      <c r="K25" t="s">
        <v>324</v>
      </c>
      <c r="L25" t="s">
        <v>45</v>
      </c>
      <c r="M25" s="15">
        <v>8849</v>
      </c>
      <c r="N25" t="s">
        <v>12</v>
      </c>
      <c r="O25">
        <v>43</v>
      </c>
      <c r="P25">
        <v>0</v>
      </c>
      <c r="Q25" s="17">
        <v>45538</v>
      </c>
      <c r="R25" s="17">
        <v>45581</v>
      </c>
      <c r="T25" s="17" t="s">
        <v>364</v>
      </c>
      <c r="V25" t="s">
        <v>179</v>
      </c>
    </row>
    <row r="26" spans="1:22" x14ac:dyDescent="0.35">
      <c r="A26" t="s">
        <v>50</v>
      </c>
      <c r="B26" t="s">
        <v>219</v>
      </c>
      <c r="C26" t="s">
        <v>27</v>
      </c>
      <c r="D26" t="s">
        <v>259</v>
      </c>
      <c r="E26" t="s">
        <v>6</v>
      </c>
      <c r="F26" t="s">
        <v>107</v>
      </c>
      <c r="G26" s="13" t="s">
        <v>317</v>
      </c>
      <c r="H26" t="s">
        <v>112</v>
      </c>
      <c r="I26" s="11" t="s">
        <v>328</v>
      </c>
      <c r="J26" t="s">
        <v>115</v>
      </c>
      <c r="K26" t="s">
        <v>115</v>
      </c>
      <c r="L26" t="s">
        <v>51</v>
      </c>
      <c r="M26" s="15">
        <v>10987</v>
      </c>
      <c r="N26" t="s">
        <v>12</v>
      </c>
      <c r="O26">
        <v>8</v>
      </c>
      <c r="P26">
        <v>12</v>
      </c>
      <c r="Q26" s="17">
        <v>45544</v>
      </c>
      <c r="R26" s="17">
        <v>45552</v>
      </c>
      <c r="S26" s="17">
        <v>45556</v>
      </c>
      <c r="T26" s="17" t="str">
        <f>IF(OR(LEN(TRIM(table2[[#This Row],[تاريخ التسليم]]))=0,LEN(TRIM(table2[[#This Row],[ميعاد التسليم]]))=0),"",IF(table2[[#This Row],[تاريخ التسليم]]&lt;=table2[[#This Row],[ميعاد التسليم]],"تم التسليم في الموعد","متأخر"))</f>
        <v>متأخر</v>
      </c>
      <c r="U26" t="s">
        <v>216</v>
      </c>
      <c r="V26" t="s">
        <v>132</v>
      </c>
    </row>
    <row r="27" spans="1:22" x14ac:dyDescent="0.35">
      <c r="A27" t="s">
        <v>37</v>
      </c>
      <c r="B27" t="s">
        <v>221</v>
      </c>
      <c r="E27" t="s">
        <v>23</v>
      </c>
      <c r="F27" t="s">
        <v>107</v>
      </c>
      <c r="G27" s="13" t="s">
        <v>317</v>
      </c>
      <c r="H27" t="s">
        <v>110</v>
      </c>
      <c r="I27" s="11" t="s">
        <v>324</v>
      </c>
      <c r="J27" t="s">
        <v>115</v>
      </c>
      <c r="K27" t="s">
        <v>115</v>
      </c>
      <c r="L27" t="s">
        <v>36</v>
      </c>
      <c r="M27" s="15">
        <v>9208</v>
      </c>
      <c r="N27" t="s">
        <v>255</v>
      </c>
      <c r="O27">
        <v>18</v>
      </c>
      <c r="P27">
        <v>20</v>
      </c>
      <c r="Q27" s="17">
        <v>45536</v>
      </c>
      <c r="R27" s="17">
        <v>45554</v>
      </c>
      <c r="S27" s="17">
        <v>45556</v>
      </c>
      <c r="T27" s="17" t="str">
        <f>IF(OR(LEN(TRIM(table2[[#This Row],[تاريخ التسليم]]))=0,LEN(TRIM(table2[[#This Row],[ميعاد التسليم]]))=0),"",IF(table2[[#This Row],[تاريخ التسليم]]&lt;=table2[[#This Row],[ميعاد التسليم]],"تم التسليم في الموعد","متأخر"))</f>
        <v>متأخر</v>
      </c>
      <c r="U27" t="s">
        <v>216</v>
      </c>
      <c r="V27" t="s">
        <v>132</v>
      </c>
    </row>
    <row r="28" spans="1:22" x14ac:dyDescent="0.35">
      <c r="A28" t="s">
        <v>37</v>
      </c>
      <c r="B28" t="s">
        <v>221</v>
      </c>
      <c r="E28" t="s">
        <v>23</v>
      </c>
      <c r="F28" t="s">
        <v>107</v>
      </c>
      <c r="G28" s="13" t="s">
        <v>317</v>
      </c>
      <c r="H28" t="s">
        <v>110</v>
      </c>
      <c r="I28" s="11" t="s">
        <v>324</v>
      </c>
      <c r="J28" t="s">
        <v>116</v>
      </c>
      <c r="K28" t="s">
        <v>116</v>
      </c>
      <c r="L28" t="s">
        <v>38</v>
      </c>
      <c r="M28" s="15">
        <v>9208</v>
      </c>
      <c r="N28" t="s">
        <v>255</v>
      </c>
      <c r="O28">
        <v>18</v>
      </c>
      <c r="P28">
        <v>20</v>
      </c>
      <c r="Q28" s="17">
        <v>45536</v>
      </c>
      <c r="R28" s="17">
        <v>45554</v>
      </c>
      <c r="S28" s="17">
        <v>45556</v>
      </c>
      <c r="T28" s="17" t="str">
        <f>IF(OR(LEN(TRIM(table2[[#This Row],[تاريخ التسليم]]))=0,LEN(TRIM(table2[[#This Row],[ميعاد التسليم]]))=0),"",IF(table2[[#This Row],[تاريخ التسليم]]&lt;=table2[[#This Row],[ميعاد التسليم]],"تم التسليم في الموعد","متأخر"))</f>
        <v>متأخر</v>
      </c>
      <c r="U28" t="s">
        <v>216</v>
      </c>
      <c r="V28" t="s">
        <v>132</v>
      </c>
    </row>
    <row r="29" spans="1:22" x14ac:dyDescent="0.35">
      <c r="A29" t="s">
        <v>60</v>
      </c>
      <c r="B29" t="s">
        <v>221</v>
      </c>
      <c r="C29" t="s">
        <v>61</v>
      </c>
      <c r="D29" t="s">
        <v>263</v>
      </c>
      <c r="E29" t="s">
        <v>253</v>
      </c>
      <c r="F29" t="s">
        <v>107</v>
      </c>
      <c r="G29" s="13" t="s">
        <v>317</v>
      </c>
      <c r="H29" t="s">
        <v>123</v>
      </c>
      <c r="I29" s="11" t="s">
        <v>328</v>
      </c>
      <c r="J29" t="s">
        <v>115</v>
      </c>
      <c r="K29" t="s">
        <v>115</v>
      </c>
      <c r="L29" t="s">
        <v>64</v>
      </c>
      <c r="M29" s="15">
        <v>4020</v>
      </c>
      <c r="N29" t="s">
        <v>62</v>
      </c>
      <c r="O29">
        <v>9</v>
      </c>
      <c r="P29">
        <v>10</v>
      </c>
      <c r="Q29" s="17">
        <v>45547</v>
      </c>
      <c r="R29" s="17">
        <v>45556</v>
      </c>
      <c r="S29" s="17">
        <v>45557</v>
      </c>
      <c r="T29" s="17" t="str">
        <f>IF(OR(LEN(TRIM(table2[[#This Row],[تاريخ التسليم]]))=0,LEN(TRIM(table2[[#This Row],[ميعاد التسليم]]))=0),"",IF(table2[[#This Row],[تاريخ التسليم]]&lt;=table2[[#This Row],[ميعاد التسليم]],"تم التسليم في الموعد","متأخر"))</f>
        <v>متأخر</v>
      </c>
      <c r="U29" t="s">
        <v>216</v>
      </c>
      <c r="V29" t="s">
        <v>132</v>
      </c>
    </row>
    <row r="30" spans="1:22" x14ac:dyDescent="0.35">
      <c r="A30" t="s">
        <v>60</v>
      </c>
      <c r="B30" t="s">
        <v>221</v>
      </c>
      <c r="C30" t="s">
        <v>61</v>
      </c>
      <c r="D30" t="s">
        <v>263</v>
      </c>
      <c r="E30" t="s">
        <v>253</v>
      </c>
      <c r="F30" t="s">
        <v>107</v>
      </c>
      <c r="G30" s="13" t="s">
        <v>317</v>
      </c>
      <c r="H30" t="s">
        <v>123</v>
      </c>
      <c r="I30" s="11" t="s">
        <v>328</v>
      </c>
      <c r="J30" t="s">
        <v>115</v>
      </c>
      <c r="K30" t="s">
        <v>115</v>
      </c>
      <c r="L30" t="s">
        <v>64</v>
      </c>
      <c r="M30" s="15">
        <v>4020</v>
      </c>
      <c r="N30" t="s">
        <v>62</v>
      </c>
      <c r="O30">
        <v>9</v>
      </c>
      <c r="P30">
        <v>10</v>
      </c>
      <c r="Q30" s="17">
        <v>45547</v>
      </c>
      <c r="R30" s="17">
        <v>45556</v>
      </c>
      <c r="S30" s="17">
        <v>45557</v>
      </c>
      <c r="T30" s="17" t="str">
        <f>IF(OR(LEN(TRIM(table2[[#This Row],[تاريخ التسليم]]))=0,LEN(TRIM(table2[[#This Row],[ميعاد التسليم]]))=0),"",IF(table2[[#This Row],[تاريخ التسليم]]&lt;=table2[[#This Row],[ميعاد التسليم]],"تم التسليم في الموعد","متأخر"))</f>
        <v>متأخر</v>
      </c>
      <c r="U30" t="s">
        <v>216</v>
      </c>
      <c r="V30" t="s">
        <v>132</v>
      </c>
    </row>
    <row r="31" spans="1:22" x14ac:dyDescent="0.35">
      <c r="A31" t="s">
        <v>60</v>
      </c>
      <c r="B31" t="s">
        <v>221</v>
      </c>
      <c r="C31" t="s">
        <v>61</v>
      </c>
      <c r="D31" t="s">
        <v>263</v>
      </c>
      <c r="E31" t="s">
        <v>253</v>
      </c>
      <c r="F31" t="s">
        <v>107</v>
      </c>
      <c r="G31" s="13" t="s">
        <v>317</v>
      </c>
      <c r="H31" t="s">
        <v>117</v>
      </c>
      <c r="I31" s="11" t="s">
        <v>328</v>
      </c>
      <c r="J31" t="s">
        <v>116</v>
      </c>
      <c r="K31" t="s">
        <v>116</v>
      </c>
      <c r="L31" t="s">
        <v>63</v>
      </c>
      <c r="M31" s="15">
        <v>4020</v>
      </c>
      <c r="N31" t="s">
        <v>82</v>
      </c>
      <c r="O31">
        <v>9</v>
      </c>
      <c r="P31">
        <v>10</v>
      </c>
      <c r="Q31" s="17">
        <v>45547</v>
      </c>
      <c r="R31" s="17">
        <v>45556</v>
      </c>
      <c r="S31" s="17">
        <v>45557</v>
      </c>
      <c r="T31" s="17" t="str">
        <f>IF(OR(LEN(TRIM(table2[[#This Row],[تاريخ التسليم]]))=0,LEN(TRIM(table2[[#This Row],[ميعاد التسليم]]))=0),"",IF(table2[[#This Row],[تاريخ التسليم]]&lt;=table2[[#This Row],[ميعاد التسليم]],"تم التسليم في الموعد","متأخر"))</f>
        <v>متأخر</v>
      </c>
      <c r="U31" t="s">
        <v>216</v>
      </c>
      <c r="V31" t="s">
        <v>132</v>
      </c>
    </row>
    <row r="32" spans="1:22" x14ac:dyDescent="0.35">
      <c r="A32" t="s">
        <v>60</v>
      </c>
      <c r="B32" t="s">
        <v>221</v>
      </c>
      <c r="C32" t="s">
        <v>61</v>
      </c>
      <c r="D32" t="s">
        <v>263</v>
      </c>
      <c r="E32" t="s">
        <v>253</v>
      </c>
      <c r="F32" t="s">
        <v>107</v>
      </c>
      <c r="G32" s="13" t="s">
        <v>317</v>
      </c>
      <c r="H32" t="s">
        <v>117</v>
      </c>
      <c r="I32" s="11" t="s">
        <v>328</v>
      </c>
      <c r="J32" t="s">
        <v>116</v>
      </c>
      <c r="K32" t="s">
        <v>116</v>
      </c>
      <c r="L32" t="s">
        <v>63</v>
      </c>
      <c r="M32" s="15">
        <v>4020</v>
      </c>
      <c r="N32" t="s">
        <v>82</v>
      </c>
      <c r="O32">
        <v>9</v>
      </c>
      <c r="P32">
        <v>10</v>
      </c>
      <c r="Q32" s="17">
        <v>45547</v>
      </c>
      <c r="R32" s="17">
        <v>45556</v>
      </c>
      <c r="S32" s="17">
        <v>45557</v>
      </c>
      <c r="T32" s="17" t="str">
        <f>IF(OR(LEN(TRIM(table2[[#This Row],[تاريخ التسليم]]))=0,LEN(TRIM(table2[[#This Row],[ميعاد التسليم]]))=0),"",IF(table2[[#This Row],[تاريخ التسليم]]&lt;=table2[[#This Row],[ميعاد التسليم]],"تم التسليم في الموعد","متأخر"))</f>
        <v>متأخر</v>
      </c>
      <c r="U32" t="s">
        <v>216</v>
      </c>
      <c r="V32" t="s">
        <v>132</v>
      </c>
    </row>
    <row r="33" spans="1:22" x14ac:dyDescent="0.35">
      <c r="A33" t="s">
        <v>101</v>
      </c>
      <c r="B33" t="s">
        <v>219</v>
      </c>
      <c r="C33" t="s">
        <v>102</v>
      </c>
      <c r="D33" t="s">
        <v>262</v>
      </c>
      <c r="E33" t="s">
        <v>6</v>
      </c>
      <c r="F33" t="s">
        <v>107</v>
      </c>
      <c r="G33" s="13" t="s">
        <v>108</v>
      </c>
      <c r="H33" t="s">
        <v>108</v>
      </c>
      <c r="I33" s="11" t="s">
        <v>324</v>
      </c>
      <c r="J33" t="s">
        <v>116</v>
      </c>
      <c r="K33" t="s">
        <v>116</v>
      </c>
      <c r="L33" t="s">
        <v>103</v>
      </c>
      <c r="M33" s="15">
        <v>9399</v>
      </c>
      <c r="N33" t="s">
        <v>82</v>
      </c>
      <c r="O33">
        <v>8</v>
      </c>
      <c r="P33">
        <v>0</v>
      </c>
      <c r="Q33" s="17">
        <v>45549</v>
      </c>
      <c r="R33" s="17">
        <v>45557</v>
      </c>
      <c r="T33" s="17" t="s">
        <v>364</v>
      </c>
      <c r="V33" t="s">
        <v>179</v>
      </c>
    </row>
    <row r="34" spans="1:22" x14ac:dyDescent="0.35">
      <c r="A34" t="s">
        <v>104</v>
      </c>
      <c r="B34" t="s">
        <v>219</v>
      </c>
      <c r="C34" t="s">
        <v>105</v>
      </c>
      <c r="D34" t="s">
        <v>260</v>
      </c>
      <c r="E34" t="s">
        <v>6</v>
      </c>
      <c r="F34" t="s">
        <v>187</v>
      </c>
      <c r="G34" s="13" t="s">
        <v>129</v>
      </c>
      <c r="H34" t="s">
        <v>317</v>
      </c>
      <c r="I34" s="11" t="s">
        <v>324</v>
      </c>
      <c r="K34" t="s">
        <v>324</v>
      </c>
      <c r="L34" t="s">
        <v>106</v>
      </c>
      <c r="M34" s="15">
        <v>8349</v>
      </c>
      <c r="N34" t="s">
        <v>82</v>
      </c>
      <c r="O34">
        <v>8</v>
      </c>
      <c r="P34">
        <v>10</v>
      </c>
      <c r="Q34" s="17">
        <v>45549</v>
      </c>
      <c r="R34" s="17">
        <v>45557</v>
      </c>
      <c r="S34" s="17">
        <v>45559</v>
      </c>
      <c r="T34" s="17" t="str">
        <f>IF(OR(LEN(TRIM(table2[[#This Row],[تاريخ التسليم]]))=0,LEN(TRIM(table2[[#This Row],[ميعاد التسليم]]))=0),"",IF(table2[[#This Row],[تاريخ التسليم]]&lt;=table2[[#This Row],[ميعاد التسليم]],"تم التسليم في الموعد","متأخر"))</f>
        <v>متأخر</v>
      </c>
      <c r="U34" t="s">
        <v>214</v>
      </c>
      <c r="V34" t="s">
        <v>132</v>
      </c>
    </row>
    <row r="35" spans="1:22" x14ac:dyDescent="0.35">
      <c r="A35" t="s">
        <v>227</v>
      </c>
      <c r="B35" t="s">
        <v>219</v>
      </c>
      <c r="C35" t="s">
        <v>27</v>
      </c>
      <c r="D35" t="s">
        <v>259</v>
      </c>
      <c r="E35" t="s">
        <v>6</v>
      </c>
      <c r="F35" t="s">
        <v>107</v>
      </c>
      <c r="G35" s="13" t="s">
        <v>108</v>
      </c>
      <c r="H35" t="s">
        <v>108</v>
      </c>
      <c r="I35" s="11" t="s">
        <v>324</v>
      </c>
      <c r="J35" t="s">
        <v>116</v>
      </c>
      <c r="K35" t="s">
        <v>116</v>
      </c>
      <c r="L35" t="s">
        <v>76</v>
      </c>
      <c r="M35" s="15">
        <v>9399</v>
      </c>
      <c r="N35" t="s">
        <v>12</v>
      </c>
      <c r="O35">
        <v>11</v>
      </c>
      <c r="P35">
        <v>17</v>
      </c>
      <c r="Q35" s="17">
        <v>45548</v>
      </c>
      <c r="R35" s="17">
        <v>45559</v>
      </c>
      <c r="S35" s="17">
        <v>45565</v>
      </c>
      <c r="T35" s="17" t="str">
        <f>IF(OR(LEN(TRIM(table2[[#This Row],[تاريخ التسليم]]))=0,LEN(TRIM(table2[[#This Row],[ميعاد التسليم]]))=0),"",IF(table2[[#This Row],[تاريخ التسليم]]&lt;=table2[[#This Row],[ميعاد التسليم]],"تم التسليم في الموعد","متأخر"))</f>
        <v>متأخر</v>
      </c>
      <c r="U35" t="s">
        <v>214</v>
      </c>
      <c r="V35" t="s">
        <v>132</v>
      </c>
    </row>
    <row r="36" spans="1:22" x14ac:dyDescent="0.35">
      <c r="A36" t="s">
        <v>228</v>
      </c>
      <c r="B36" t="s">
        <v>219</v>
      </c>
      <c r="C36" t="s">
        <v>52</v>
      </c>
      <c r="D36" t="s">
        <v>254</v>
      </c>
      <c r="E36" t="s">
        <v>6</v>
      </c>
      <c r="F36" t="s">
        <v>187</v>
      </c>
      <c r="G36" s="13" t="s">
        <v>317</v>
      </c>
      <c r="H36" t="s">
        <v>317</v>
      </c>
      <c r="I36" s="11" t="s">
        <v>324</v>
      </c>
      <c r="K36" t="s">
        <v>324</v>
      </c>
      <c r="L36" t="s">
        <v>45</v>
      </c>
      <c r="M36" s="15">
        <v>7849</v>
      </c>
      <c r="N36" t="s">
        <v>255</v>
      </c>
      <c r="O36">
        <v>14</v>
      </c>
      <c r="P36">
        <v>0</v>
      </c>
      <c r="Q36" s="17">
        <v>45547</v>
      </c>
      <c r="R36" s="17">
        <v>45561</v>
      </c>
      <c r="T36" s="17" t="s">
        <v>364</v>
      </c>
      <c r="U36" t="s">
        <v>214</v>
      </c>
      <c r="V36" t="s">
        <v>132</v>
      </c>
    </row>
    <row r="37" spans="1:22" x14ac:dyDescent="0.35">
      <c r="A37" t="s">
        <v>57</v>
      </c>
      <c r="B37" t="s">
        <v>219</v>
      </c>
      <c r="C37" t="s">
        <v>58</v>
      </c>
      <c r="D37" t="s">
        <v>259</v>
      </c>
      <c r="E37" t="s">
        <v>183</v>
      </c>
      <c r="F37" t="s">
        <v>107</v>
      </c>
      <c r="G37" s="13" t="s">
        <v>322</v>
      </c>
      <c r="H37" t="s">
        <v>317</v>
      </c>
      <c r="I37" s="11" t="s">
        <v>329</v>
      </c>
      <c r="J37" t="s">
        <v>116</v>
      </c>
      <c r="K37" t="s">
        <v>116</v>
      </c>
      <c r="L37" t="s">
        <v>59</v>
      </c>
      <c r="M37" s="15">
        <v>9450</v>
      </c>
      <c r="N37" t="s">
        <v>255</v>
      </c>
      <c r="O37">
        <v>14</v>
      </c>
      <c r="P37">
        <v>0</v>
      </c>
      <c r="Q37" s="17">
        <v>45547</v>
      </c>
      <c r="R37" s="17">
        <v>45561</v>
      </c>
      <c r="T37" s="17" t="s">
        <v>364</v>
      </c>
      <c r="V37" t="s">
        <v>179</v>
      </c>
    </row>
    <row r="38" spans="1:22" x14ac:dyDescent="0.35">
      <c r="A38" t="s">
        <v>229</v>
      </c>
      <c r="B38" t="s">
        <v>219</v>
      </c>
      <c r="C38" t="s">
        <v>48</v>
      </c>
      <c r="D38" t="s">
        <v>254</v>
      </c>
      <c r="E38" t="s">
        <v>6</v>
      </c>
      <c r="F38" t="s">
        <v>107</v>
      </c>
      <c r="G38" s="13" t="s">
        <v>317</v>
      </c>
      <c r="H38" t="s">
        <v>112</v>
      </c>
      <c r="I38" s="11" t="s">
        <v>328</v>
      </c>
      <c r="J38" t="s">
        <v>116</v>
      </c>
      <c r="K38" t="s">
        <v>116</v>
      </c>
      <c r="L38" t="s">
        <v>70</v>
      </c>
      <c r="M38" s="15">
        <v>7460</v>
      </c>
      <c r="N38" t="s">
        <v>12</v>
      </c>
      <c r="O38">
        <v>13</v>
      </c>
      <c r="P38">
        <v>20</v>
      </c>
      <c r="Q38" s="17">
        <v>45548</v>
      </c>
      <c r="R38" s="17">
        <v>45561</v>
      </c>
      <c r="S38" s="17">
        <v>45568</v>
      </c>
      <c r="T38" s="17" t="str">
        <f>IF(OR(LEN(TRIM(table2[[#This Row],[تاريخ التسليم]]))=0,LEN(TRIM(table2[[#This Row],[ميعاد التسليم]]))=0),"",IF(table2[[#This Row],[تاريخ التسليم]]&lt;=table2[[#This Row],[ميعاد التسليم]],"تم التسليم في الموعد","متأخر"))</f>
        <v>متأخر</v>
      </c>
      <c r="U38" t="s">
        <v>216</v>
      </c>
      <c r="V38" t="s">
        <v>132</v>
      </c>
    </row>
    <row r="39" spans="1:22" x14ac:dyDescent="0.35">
      <c r="A39" t="s">
        <v>72</v>
      </c>
      <c r="B39" t="s">
        <v>219</v>
      </c>
      <c r="C39" t="s">
        <v>48</v>
      </c>
      <c r="D39" t="s">
        <v>254</v>
      </c>
      <c r="E39" t="s">
        <v>6</v>
      </c>
      <c r="F39" t="s">
        <v>107</v>
      </c>
      <c r="G39" s="13" t="s">
        <v>317</v>
      </c>
      <c r="H39" t="s">
        <v>330</v>
      </c>
      <c r="I39" s="11" t="s">
        <v>331</v>
      </c>
      <c r="J39" t="s">
        <v>122</v>
      </c>
      <c r="K39" t="s">
        <v>122</v>
      </c>
      <c r="L39" t="s">
        <v>73</v>
      </c>
      <c r="M39" s="15">
        <v>9528</v>
      </c>
      <c r="N39" t="s">
        <v>12</v>
      </c>
      <c r="O39">
        <v>13</v>
      </c>
      <c r="P39">
        <v>20</v>
      </c>
      <c r="Q39" s="17">
        <v>45548</v>
      </c>
      <c r="R39" s="17">
        <v>45561</v>
      </c>
      <c r="S39" s="17">
        <v>45568</v>
      </c>
      <c r="T39" s="17" t="str">
        <f>IF(OR(LEN(TRIM(table2[[#This Row],[تاريخ التسليم]]))=0,LEN(TRIM(table2[[#This Row],[ميعاد التسليم]]))=0),"",IF(table2[[#This Row],[تاريخ التسليم]]&lt;=table2[[#This Row],[ميعاد التسليم]],"تم التسليم في الموعد","متأخر"))</f>
        <v>متأخر</v>
      </c>
      <c r="U39" t="s">
        <v>216</v>
      </c>
      <c r="V39" t="s">
        <v>132</v>
      </c>
    </row>
    <row r="40" spans="1:22" x14ac:dyDescent="0.35">
      <c r="A40" t="s">
        <v>230</v>
      </c>
      <c r="B40" t="s">
        <v>219</v>
      </c>
      <c r="C40" t="s">
        <v>27</v>
      </c>
      <c r="D40" t="s">
        <v>259</v>
      </c>
      <c r="E40" t="s">
        <v>6</v>
      </c>
      <c r="F40" t="s">
        <v>107</v>
      </c>
      <c r="G40" s="13" t="s">
        <v>317</v>
      </c>
      <c r="H40" t="s">
        <v>111</v>
      </c>
      <c r="I40" s="11" t="s">
        <v>328</v>
      </c>
      <c r="J40" t="s">
        <v>119</v>
      </c>
      <c r="K40" t="s">
        <v>119</v>
      </c>
      <c r="L40" t="s">
        <v>100</v>
      </c>
      <c r="M40" s="15">
        <v>12999</v>
      </c>
      <c r="N40" t="s">
        <v>12</v>
      </c>
      <c r="O40">
        <v>13</v>
      </c>
      <c r="P40">
        <v>18</v>
      </c>
      <c r="Q40" s="17">
        <v>45549</v>
      </c>
      <c r="R40" s="17">
        <v>45562</v>
      </c>
      <c r="S40" s="17">
        <v>45567</v>
      </c>
      <c r="T40" s="17" t="str">
        <f>IF(OR(LEN(TRIM(table2[[#This Row],[تاريخ التسليم]]))=0,LEN(TRIM(table2[[#This Row],[ميعاد التسليم]]))=0),"",IF(table2[[#This Row],[تاريخ التسليم]]&lt;=table2[[#This Row],[ميعاد التسليم]],"تم التسليم في الموعد","متأخر"))</f>
        <v>متأخر</v>
      </c>
      <c r="U40" t="s">
        <v>216</v>
      </c>
      <c r="V40" t="s">
        <v>132</v>
      </c>
    </row>
    <row r="41" spans="1:22" x14ac:dyDescent="0.35">
      <c r="A41" t="s">
        <v>231</v>
      </c>
      <c r="B41" t="s">
        <v>219</v>
      </c>
      <c r="C41" t="s">
        <v>53</v>
      </c>
      <c r="D41" t="s">
        <v>254</v>
      </c>
      <c r="E41" t="s">
        <v>6</v>
      </c>
      <c r="F41" t="s">
        <v>107</v>
      </c>
      <c r="G41" s="13" t="s">
        <v>317</v>
      </c>
      <c r="H41" t="s">
        <v>109</v>
      </c>
      <c r="I41" s="11" t="s">
        <v>325</v>
      </c>
      <c r="J41" t="s">
        <v>116</v>
      </c>
      <c r="K41" t="s">
        <v>116</v>
      </c>
      <c r="L41" t="s">
        <v>55</v>
      </c>
      <c r="M41" s="15">
        <v>5999</v>
      </c>
      <c r="N41" t="s">
        <v>12</v>
      </c>
      <c r="O41">
        <v>17</v>
      </c>
      <c r="P41">
        <v>0</v>
      </c>
      <c r="Q41" s="17">
        <v>45547</v>
      </c>
      <c r="R41" s="17">
        <v>45564</v>
      </c>
      <c r="T41" s="17" t="s">
        <v>364</v>
      </c>
      <c r="V41" t="s">
        <v>179</v>
      </c>
    </row>
    <row r="42" spans="1:22" x14ac:dyDescent="0.35">
      <c r="A42" t="s">
        <v>232</v>
      </c>
      <c r="B42" t="s">
        <v>219</v>
      </c>
      <c r="C42" t="s">
        <v>54</v>
      </c>
      <c r="D42" t="s">
        <v>259</v>
      </c>
      <c r="E42" t="s">
        <v>6</v>
      </c>
      <c r="F42" t="s">
        <v>107</v>
      </c>
      <c r="G42" s="13" t="s">
        <v>317</v>
      </c>
      <c r="H42" t="s">
        <v>111</v>
      </c>
      <c r="I42" s="11" t="s">
        <v>329</v>
      </c>
      <c r="J42" t="s">
        <v>116</v>
      </c>
      <c r="K42" t="s">
        <v>116</v>
      </c>
      <c r="L42" s="12" t="s">
        <v>56</v>
      </c>
      <c r="M42" s="15">
        <v>11949</v>
      </c>
      <c r="N42" t="s">
        <v>255</v>
      </c>
      <c r="O42">
        <v>17</v>
      </c>
      <c r="P42">
        <v>20</v>
      </c>
      <c r="Q42" s="17">
        <v>45547</v>
      </c>
      <c r="R42" s="17">
        <v>45564</v>
      </c>
      <c r="S42" s="17">
        <v>45567</v>
      </c>
      <c r="T42" s="17" t="str">
        <f>IF(OR(LEN(TRIM(table2[[#This Row],[تاريخ التسليم]]))=0,LEN(TRIM(table2[[#This Row],[ميعاد التسليم]]))=0),"",IF(table2[[#This Row],[تاريخ التسليم]]&lt;=table2[[#This Row],[ميعاد التسليم]],"تم التسليم في الموعد","متأخر"))</f>
        <v>متأخر</v>
      </c>
      <c r="U42" t="s">
        <v>216</v>
      </c>
      <c r="V42" t="s">
        <v>132</v>
      </c>
    </row>
    <row r="43" spans="1:22" x14ac:dyDescent="0.35">
      <c r="A43" t="s">
        <v>232</v>
      </c>
      <c r="B43" t="s">
        <v>219</v>
      </c>
      <c r="C43" t="s">
        <v>54</v>
      </c>
      <c r="D43" t="s">
        <v>259</v>
      </c>
      <c r="E43" t="s">
        <v>6</v>
      </c>
      <c r="F43" t="s">
        <v>107</v>
      </c>
      <c r="G43" s="13" t="s">
        <v>317</v>
      </c>
      <c r="H43" t="s">
        <v>111</v>
      </c>
      <c r="I43" s="11" t="s">
        <v>329</v>
      </c>
      <c r="J43" t="s">
        <v>116</v>
      </c>
      <c r="K43" t="s">
        <v>116</v>
      </c>
      <c r="L43" s="12" t="s">
        <v>56</v>
      </c>
      <c r="M43" s="15">
        <v>11949</v>
      </c>
      <c r="N43" t="s">
        <v>255</v>
      </c>
      <c r="O43">
        <v>17</v>
      </c>
      <c r="P43">
        <v>20</v>
      </c>
      <c r="Q43" s="17">
        <v>45547</v>
      </c>
      <c r="R43" s="17">
        <v>45564</v>
      </c>
      <c r="S43" s="17">
        <v>45567</v>
      </c>
      <c r="T43" s="17" t="str">
        <f>IF(OR(LEN(TRIM(table2[[#This Row],[تاريخ التسليم]]))=0,LEN(TRIM(table2[[#This Row],[ميعاد التسليم]]))=0),"",IF(table2[[#This Row],[تاريخ التسليم]]&lt;=table2[[#This Row],[ميعاد التسليم]],"تم التسليم في الموعد","متأخر"))</f>
        <v>متأخر</v>
      </c>
      <c r="U43" t="s">
        <v>216</v>
      </c>
      <c r="V43" t="s">
        <v>132</v>
      </c>
    </row>
    <row r="44" spans="1:22" x14ac:dyDescent="0.35">
      <c r="A44" t="s">
        <v>222</v>
      </c>
      <c r="B44" t="s">
        <v>219</v>
      </c>
      <c r="C44" t="s">
        <v>65</v>
      </c>
      <c r="D44" t="s">
        <v>254</v>
      </c>
      <c r="E44" t="s">
        <v>6</v>
      </c>
      <c r="F44" t="s">
        <v>107</v>
      </c>
      <c r="G44" s="13" t="s">
        <v>322</v>
      </c>
      <c r="H44" t="s">
        <v>317</v>
      </c>
      <c r="I44" s="11" t="s">
        <v>327</v>
      </c>
      <c r="J44" t="s">
        <v>115</v>
      </c>
      <c r="K44" t="s">
        <v>115</v>
      </c>
      <c r="L44" t="s">
        <v>67</v>
      </c>
      <c r="M44" s="15">
        <v>16599</v>
      </c>
      <c r="N44" t="s">
        <v>12</v>
      </c>
      <c r="O44">
        <v>17</v>
      </c>
      <c r="P44">
        <v>20</v>
      </c>
      <c r="Q44" s="17">
        <v>45548</v>
      </c>
      <c r="R44" s="17">
        <v>45565</v>
      </c>
      <c r="S44" s="17">
        <v>45568</v>
      </c>
      <c r="T44" s="17" t="str">
        <f>IF(OR(LEN(TRIM(table2[[#This Row],[تاريخ التسليم]]))=0,LEN(TRIM(table2[[#This Row],[ميعاد التسليم]]))=0),"",IF(table2[[#This Row],[تاريخ التسليم]]&lt;=table2[[#This Row],[ميعاد التسليم]],"تم التسليم في الموعد","متأخر"))</f>
        <v>متأخر</v>
      </c>
      <c r="U44" t="s">
        <v>216</v>
      </c>
      <c r="V44" t="s">
        <v>132</v>
      </c>
    </row>
    <row r="45" spans="1:22" x14ac:dyDescent="0.35">
      <c r="A45" t="s">
        <v>233</v>
      </c>
      <c r="B45" t="s">
        <v>219</v>
      </c>
      <c r="C45" t="s">
        <v>20</v>
      </c>
      <c r="D45" t="s">
        <v>262</v>
      </c>
      <c r="E45" t="s">
        <v>6</v>
      </c>
      <c r="F45" t="s">
        <v>107</v>
      </c>
      <c r="G45" s="13" t="s">
        <v>114</v>
      </c>
      <c r="H45" t="s">
        <v>111</v>
      </c>
      <c r="I45" s="11" t="s">
        <v>327</v>
      </c>
      <c r="J45" t="s">
        <v>115</v>
      </c>
      <c r="K45" t="s">
        <v>115</v>
      </c>
      <c r="L45" t="s">
        <v>66</v>
      </c>
      <c r="M45" s="15">
        <v>10999</v>
      </c>
      <c r="N45" t="s">
        <v>12</v>
      </c>
      <c r="O45">
        <v>17</v>
      </c>
      <c r="P45">
        <v>33</v>
      </c>
      <c r="Q45" s="17">
        <v>45548</v>
      </c>
      <c r="R45" s="17">
        <v>45565</v>
      </c>
      <c r="S45" s="17">
        <v>45581</v>
      </c>
      <c r="T45" s="17" t="str">
        <f>IF(OR(LEN(TRIM(table2[[#This Row],[تاريخ التسليم]]))=0,LEN(TRIM(table2[[#This Row],[ميعاد التسليم]]))=0),"",IF(table2[[#This Row],[تاريخ التسليم]]&lt;=table2[[#This Row],[ميعاد التسليم]],"تم التسليم في الموعد","متأخر"))</f>
        <v>متأخر</v>
      </c>
      <c r="U45" t="s">
        <v>214</v>
      </c>
      <c r="V45" t="s">
        <v>132</v>
      </c>
    </row>
    <row r="46" spans="1:22" x14ac:dyDescent="0.35">
      <c r="A46" t="s">
        <v>234</v>
      </c>
      <c r="B46" t="s">
        <v>219</v>
      </c>
      <c r="C46" t="s">
        <v>68</v>
      </c>
      <c r="D46" t="s">
        <v>262</v>
      </c>
      <c r="E46" t="s">
        <v>6</v>
      </c>
      <c r="F46" t="s">
        <v>107</v>
      </c>
      <c r="G46" s="13" t="s">
        <v>317</v>
      </c>
      <c r="H46" t="s">
        <v>332</v>
      </c>
      <c r="I46" s="11" t="s">
        <v>331</v>
      </c>
      <c r="J46" t="s">
        <v>118</v>
      </c>
      <c r="K46" t="s">
        <v>118</v>
      </c>
      <c r="L46" t="s">
        <v>69</v>
      </c>
      <c r="M46" s="15">
        <v>13099</v>
      </c>
      <c r="N46" t="s">
        <v>12</v>
      </c>
      <c r="O46">
        <v>17</v>
      </c>
      <c r="P46">
        <v>20</v>
      </c>
      <c r="Q46" s="17">
        <v>45548</v>
      </c>
      <c r="R46" s="17">
        <v>45565</v>
      </c>
      <c r="S46" s="17">
        <v>45568</v>
      </c>
      <c r="T46" s="17" t="str">
        <f>IF(OR(LEN(TRIM(table2[[#This Row],[تاريخ التسليم]]))=0,LEN(TRIM(table2[[#This Row],[ميعاد التسليم]]))=0),"",IF(table2[[#This Row],[تاريخ التسليم]]&lt;=table2[[#This Row],[ميعاد التسليم]],"تم التسليم في الموعد","متأخر"))</f>
        <v>متأخر</v>
      </c>
      <c r="U46" t="s">
        <v>214</v>
      </c>
      <c r="V46" t="s">
        <v>132</v>
      </c>
    </row>
    <row r="47" spans="1:22" x14ac:dyDescent="0.35">
      <c r="A47" t="s">
        <v>235</v>
      </c>
      <c r="B47" t="s">
        <v>219</v>
      </c>
      <c r="C47" t="s">
        <v>27</v>
      </c>
      <c r="D47" t="s">
        <v>259</v>
      </c>
      <c r="E47" t="s">
        <v>6</v>
      </c>
      <c r="F47" t="s">
        <v>107</v>
      </c>
      <c r="G47" s="13" t="s">
        <v>317</v>
      </c>
      <c r="H47" t="s">
        <v>110</v>
      </c>
      <c r="I47" s="11" t="s">
        <v>328</v>
      </c>
      <c r="J47" t="s">
        <v>120</v>
      </c>
      <c r="K47" t="s">
        <v>120</v>
      </c>
      <c r="L47" t="s">
        <v>71</v>
      </c>
      <c r="M47" s="15">
        <v>13849</v>
      </c>
      <c r="N47" t="s">
        <v>12</v>
      </c>
      <c r="O47">
        <v>17</v>
      </c>
      <c r="P47">
        <v>37</v>
      </c>
      <c r="Q47" s="17">
        <v>45548</v>
      </c>
      <c r="R47" s="17">
        <v>45565</v>
      </c>
      <c r="S47" s="17">
        <v>45585</v>
      </c>
      <c r="T47" s="17" t="str">
        <f>IF(OR(LEN(TRIM(table2[[#This Row],[تاريخ التسليم]]))=0,LEN(TRIM(table2[[#This Row],[ميعاد التسليم]]))=0),"",IF(table2[[#This Row],[تاريخ التسليم]]&lt;=table2[[#This Row],[ميعاد التسليم]],"تم التسليم في الموعد","متأخر"))</f>
        <v>متأخر</v>
      </c>
      <c r="U47" t="s">
        <v>216</v>
      </c>
      <c r="V47" t="s">
        <v>132</v>
      </c>
    </row>
    <row r="48" spans="1:22" x14ac:dyDescent="0.35">
      <c r="A48" t="s">
        <v>236</v>
      </c>
      <c r="B48" t="s">
        <v>219</v>
      </c>
      <c r="C48" t="s">
        <v>74</v>
      </c>
      <c r="D48" t="s">
        <v>254</v>
      </c>
      <c r="E48" t="s">
        <v>6</v>
      </c>
      <c r="F48" t="s">
        <v>107</v>
      </c>
      <c r="G48" s="13" t="s">
        <v>323</v>
      </c>
      <c r="H48" t="s">
        <v>317</v>
      </c>
      <c r="I48" s="11" t="s">
        <v>324</v>
      </c>
      <c r="J48" t="s">
        <v>116</v>
      </c>
      <c r="K48" t="s">
        <v>324</v>
      </c>
      <c r="L48" t="s">
        <v>75</v>
      </c>
      <c r="M48" s="15">
        <v>21999</v>
      </c>
      <c r="N48" t="s">
        <v>12</v>
      </c>
      <c r="O48">
        <v>17</v>
      </c>
      <c r="P48">
        <v>0</v>
      </c>
      <c r="Q48" s="17">
        <v>45548</v>
      </c>
      <c r="R48" s="17">
        <v>45565</v>
      </c>
      <c r="T48" s="17" t="s">
        <v>364</v>
      </c>
      <c r="U48" t="s">
        <v>216</v>
      </c>
      <c r="V48" t="s">
        <v>132</v>
      </c>
    </row>
    <row r="49" spans="1:22" x14ac:dyDescent="0.35">
      <c r="A49" t="s">
        <v>237</v>
      </c>
      <c r="B49" t="s">
        <v>219</v>
      </c>
      <c r="C49" t="s">
        <v>27</v>
      </c>
      <c r="D49" t="s">
        <v>259</v>
      </c>
      <c r="E49" t="s">
        <v>6</v>
      </c>
      <c r="F49" t="s">
        <v>107</v>
      </c>
      <c r="G49" s="13" t="s">
        <v>114</v>
      </c>
      <c r="H49" t="s">
        <v>111</v>
      </c>
      <c r="I49" s="11" t="s">
        <v>327</v>
      </c>
      <c r="J49" t="s">
        <v>115</v>
      </c>
      <c r="K49" t="s">
        <v>115</v>
      </c>
      <c r="L49" t="s">
        <v>66</v>
      </c>
      <c r="M49" s="15">
        <v>10999</v>
      </c>
      <c r="N49" t="s">
        <v>12</v>
      </c>
      <c r="O49">
        <v>17</v>
      </c>
      <c r="P49">
        <v>32</v>
      </c>
      <c r="Q49" s="17">
        <v>45548</v>
      </c>
      <c r="R49" s="17">
        <v>45565</v>
      </c>
      <c r="S49" s="17">
        <v>45580</v>
      </c>
      <c r="T49" s="17" t="str">
        <f>IF(OR(LEN(TRIM(table2[[#This Row],[تاريخ التسليم]]))=0,LEN(TRIM(table2[[#This Row],[ميعاد التسليم]]))=0),"",IF(table2[[#This Row],[تاريخ التسليم]]&lt;=table2[[#This Row],[ميعاد التسليم]],"تم التسليم في الموعد","متأخر"))</f>
        <v>متأخر</v>
      </c>
      <c r="U49" t="s">
        <v>216</v>
      </c>
      <c r="V49" t="s">
        <v>132</v>
      </c>
    </row>
    <row r="50" spans="1:22" x14ac:dyDescent="0.35">
      <c r="A50" t="s">
        <v>238</v>
      </c>
      <c r="B50" t="s">
        <v>219</v>
      </c>
      <c r="C50" t="s">
        <v>78</v>
      </c>
      <c r="D50" t="s">
        <v>254</v>
      </c>
      <c r="E50" t="s">
        <v>6</v>
      </c>
      <c r="F50" t="s">
        <v>107</v>
      </c>
      <c r="G50" s="13" t="s">
        <v>322</v>
      </c>
      <c r="H50" t="s">
        <v>317</v>
      </c>
      <c r="I50" s="11" t="s">
        <v>325</v>
      </c>
      <c r="J50" t="s">
        <v>116</v>
      </c>
      <c r="K50" t="s">
        <v>116</v>
      </c>
      <c r="L50" t="s">
        <v>79</v>
      </c>
      <c r="M50" s="15">
        <v>17249</v>
      </c>
      <c r="N50" t="s">
        <v>12</v>
      </c>
      <c r="O50">
        <v>17</v>
      </c>
      <c r="P50">
        <v>21</v>
      </c>
      <c r="Q50" s="17">
        <v>45548</v>
      </c>
      <c r="R50" s="17">
        <v>45565</v>
      </c>
      <c r="S50" s="17">
        <v>45569</v>
      </c>
      <c r="T50" s="17" t="str">
        <f>IF(OR(LEN(TRIM(table2[[#This Row],[تاريخ التسليم]]))=0,LEN(TRIM(table2[[#This Row],[ميعاد التسليم]]))=0),"",IF(table2[[#This Row],[تاريخ التسليم]]&lt;=table2[[#This Row],[ميعاد التسليم]],"تم التسليم في الموعد","متأخر"))</f>
        <v>متأخر</v>
      </c>
      <c r="U50" t="s">
        <v>216</v>
      </c>
      <c r="V50" t="s">
        <v>132</v>
      </c>
    </row>
    <row r="51" spans="1:22" x14ac:dyDescent="0.35">
      <c r="A51" t="s">
        <v>239</v>
      </c>
      <c r="B51" t="s">
        <v>219</v>
      </c>
      <c r="C51" t="s">
        <v>98</v>
      </c>
      <c r="D51" t="s">
        <v>259</v>
      </c>
      <c r="E51" t="s">
        <v>6</v>
      </c>
      <c r="F51" t="s">
        <v>187</v>
      </c>
      <c r="G51" s="13" t="s">
        <v>317</v>
      </c>
      <c r="H51" t="s">
        <v>317</v>
      </c>
      <c r="I51" s="11" t="s">
        <v>324</v>
      </c>
      <c r="K51" t="s">
        <v>324</v>
      </c>
      <c r="L51" t="s">
        <v>99</v>
      </c>
      <c r="M51" s="15">
        <v>8349</v>
      </c>
      <c r="N51" t="s">
        <v>12</v>
      </c>
      <c r="O51">
        <v>32</v>
      </c>
      <c r="P51">
        <v>37</v>
      </c>
      <c r="Q51" s="17">
        <v>45549</v>
      </c>
      <c r="R51" s="17">
        <v>45581</v>
      </c>
      <c r="S51" s="17">
        <v>45586</v>
      </c>
      <c r="T51" s="17" t="str">
        <f>IF(OR(LEN(TRIM(table2[[#This Row],[تاريخ التسليم]]))=0,LEN(TRIM(table2[[#This Row],[ميعاد التسليم]]))=0),"",IF(table2[[#This Row],[تاريخ التسليم]]&lt;=table2[[#This Row],[ميعاد التسليم]],"تم التسليم في الموعد","متأخر"))</f>
        <v>متأخر</v>
      </c>
      <c r="U51" t="s">
        <v>216</v>
      </c>
      <c r="V51" t="s">
        <v>132</v>
      </c>
    </row>
    <row r="52" spans="1:22" x14ac:dyDescent="0.35">
      <c r="A52" t="s">
        <v>240</v>
      </c>
      <c r="B52" t="s">
        <v>219</v>
      </c>
      <c r="C52" t="s">
        <v>44</v>
      </c>
      <c r="D52" t="s">
        <v>254</v>
      </c>
      <c r="E52" t="s">
        <v>6</v>
      </c>
      <c r="F52" t="s">
        <v>187</v>
      </c>
      <c r="G52" s="13" t="s">
        <v>318</v>
      </c>
      <c r="H52" t="s">
        <v>317</v>
      </c>
      <c r="I52" s="11" t="s">
        <v>324</v>
      </c>
      <c r="K52" t="s">
        <v>324</v>
      </c>
      <c r="L52" t="s">
        <v>21</v>
      </c>
      <c r="M52" s="15">
        <v>7849</v>
      </c>
      <c r="N52" t="s">
        <v>12</v>
      </c>
      <c r="O52">
        <v>45</v>
      </c>
      <c r="P52">
        <v>46</v>
      </c>
      <c r="Q52" s="17">
        <v>45549</v>
      </c>
      <c r="R52" s="17">
        <v>45594</v>
      </c>
      <c r="S52" s="17">
        <v>45595</v>
      </c>
      <c r="T52" s="17" t="str">
        <f>IF(OR(LEN(TRIM(table2[[#This Row],[تاريخ التسليم]]))=0,LEN(TRIM(table2[[#This Row],[ميعاد التسليم]]))=0),"",IF(table2[[#This Row],[تاريخ التسليم]]&lt;=table2[[#This Row],[ميعاد التسليم]],"تم التسليم في الموعد","متأخر"))</f>
        <v>متأخر</v>
      </c>
      <c r="U52" t="s">
        <v>216</v>
      </c>
      <c r="V52" t="s">
        <v>132</v>
      </c>
    </row>
    <row r="53" spans="1:22" x14ac:dyDescent="0.35">
      <c r="A53" t="s">
        <v>85</v>
      </c>
      <c r="B53" t="s">
        <v>219</v>
      </c>
      <c r="C53" t="s">
        <v>27</v>
      </c>
      <c r="D53" t="s">
        <v>259</v>
      </c>
      <c r="E53" t="s">
        <v>6</v>
      </c>
      <c r="F53" t="s">
        <v>107</v>
      </c>
      <c r="G53" s="13" t="s">
        <v>108</v>
      </c>
      <c r="H53" t="s">
        <v>108</v>
      </c>
      <c r="I53" s="11" t="s">
        <v>324</v>
      </c>
      <c r="J53" t="s">
        <v>116</v>
      </c>
      <c r="K53" t="s">
        <v>116</v>
      </c>
      <c r="L53" t="s">
        <v>86</v>
      </c>
      <c r="M53" s="15">
        <v>9399</v>
      </c>
      <c r="N53" t="s">
        <v>82</v>
      </c>
      <c r="O53">
        <v>45</v>
      </c>
      <c r="P53">
        <v>31</v>
      </c>
      <c r="Q53" s="17">
        <v>45549</v>
      </c>
      <c r="R53" s="17">
        <v>45594</v>
      </c>
      <c r="S53" s="17">
        <v>45580</v>
      </c>
      <c r="T53"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3" t="s">
        <v>216</v>
      </c>
      <c r="V53" t="s">
        <v>132</v>
      </c>
    </row>
    <row r="54" spans="1:22" x14ac:dyDescent="0.35">
      <c r="A54" t="s">
        <v>241</v>
      </c>
      <c r="B54" t="s">
        <v>219</v>
      </c>
      <c r="C54" t="s">
        <v>87</v>
      </c>
      <c r="D54" t="s">
        <v>259</v>
      </c>
      <c r="E54" t="s">
        <v>6</v>
      </c>
      <c r="F54" t="s">
        <v>107</v>
      </c>
      <c r="G54" s="13" t="s">
        <v>317</v>
      </c>
      <c r="H54" t="s">
        <v>112</v>
      </c>
      <c r="I54" s="11" t="s">
        <v>331</v>
      </c>
      <c r="J54" t="s">
        <v>116</v>
      </c>
      <c r="K54" t="s">
        <v>148</v>
      </c>
      <c r="L54" t="s">
        <v>88</v>
      </c>
      <c r="M54" s="15">
        <v>11817</v>
      </c>
      <c r="N54" t="s">
        <v>82</v>
      </c>
      <c r="O54">
        <v>45</v>
      </c>
      <c r="P54">
        <v>31</v>
      </c>
      <c r="Q54" s="17">
        <v>45549</v>
      </c>
      <c r="R54" s="17">
        <v>45594</v>
      </c>
      <c r="S54" s="17">
        <v>45580</v>
      </c>
      <c r="T54"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4" t="s">
        <v>216</v>
      </c>
      <c r="V54" t="s">
        <v>132</v>
      </c>
    </row>
    <row r="55" spans="1:22" x14ac:dyDescent="0.35">
      <c r="A55" t="s">
        <v>242</v>
      </c>
      <c r="B55" t="s">
        <v>219</v>
      </c>
      <c r="C55" t="s">
        <v>65</v>
      </c>
      <c r="D55" t="s">
        <v>254</v>
      </c>
      <c r="E55" t="s">
        <v>6</v>
      </c>
      <c r="F55" t="s">
        <v>187</v>
      </c>
      <c r="G55" s="13" t="s">
        <v>129</v>
      </c>
      <c r="H55" t="s">
        <v>317</v>
      </c>
      <c r="I55" s="11" t="s">
        <v>324</v>
      </c>
      <c r="K55" t="s">
        <v>324</v>
      </c>
      <c r="L55" t="s">
        <v>89</v>
      </c>
      <c r="M55" s="15">
        <v>8349</v>
      </c>
      <c r="N55" t="s">
        <v>82</v>
      </c>
      <c r="O55">
        <v>45</v>
      </c>
      <c r="P55">
        <v>35</v>
      </c>
      <c r="Q55" s="17">
        <v>45549</v>
      </c>
      <c r="R55" s="17">
        <v>45594</v>
      </c>
      <c r="S55" s="17">
        <v>45584</v>
      </c>
      <c r="T55"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5" t="s">
        <v>216</v>
      </c>
      <c r="V55" t="s">
        <v>132</v>
      </c>
    </row>
    <row r="56" spans="1:22" x14ac:dyDescent="0.35">
      <c r="A56" t="s">
        <v>243</v>
      </c>
      <c r="B56" t="s">
        <v>219</v>
      </c>
      <c r="C56" t="s">
        <v>91</v>
      </c>
      <c r="D56" t="s">
        <v>254</v>
      </c>
      <c r="E56" t="s">
        <v>6</v>
      </c>
      <c r="F56" t="s">
        <v>107</v>
      </c>
      <c r="G56" s="13" t="s">
        <v>317</v>
      </c>
      <c r="H56" t="s">
        <v>123</v>
      </c>
      <c r="I56" s="11" t="s">
        <v>328</v>
      </c>
      <c r="J56" t="s">
        <v>115</v>
      </c>
      <c r="K56" t="s">
        <v>115</v>
      </c>
      <c r="L56" s="12" t="s">
        <v>92</v>
      </c>
      <c r="M56" s="15">
        <v>17886</v>
      </c>
      <c r="N56" t="s">
        <v>82</v>
      </c>
      <c r="O56">
        <v>45</v>
      </c>
      <c r="P56">
        <v>0</v>
      </c>
      <c r="Q56" s="17">
        <v>45549</v>
      </c>
      <c r="R56" s="17">
        <v>45594</v>
      </c>
      <c r="T56" s="17" t="s">
        <v>364</v>
      </c>
      <c r="V56" t="s">
        <v>179</v>
      </c>
    </row>
    <row r="57" spans="1:22" x14ac:dyDescent="0.35">
      <c r="A57" t="s">
        <v>243</v>
      </c>
      <c r="B57" t="s">
        <v>219</v>
      </c>
      <c r="C57" t="s">
        <v>91</v>
      </c>
      <c r="D57" t="s">
        <v>254</v>
      </c>
      <c r="E57" t="s">
        <v>6</v>
      </c>
      <c r="F57" t="s">
        <v>107</v>
      </c>
      <c r="G57" s="13" t="s">
        <v>317</v>
      </c>
      <c r="H57" t="s">
        <v>123</v>
      </c>
      <c r="I57" s="11" t="s">
        <v>328</v>
      </c>
      <c r="J57" t="s">
        <v>115</v>
      </c>
      <c r="K57" t="s">
        <v>115</v>
      </c>
      <c r="L57" s="12" t="s">
        <v>92</v>
      </c>
      <c r="M57" s="15">
        <v>17886</v>
      </c>
      <c r="N57" t="s">
        <v>82</v>
      </c>
      <c r="O57">
        <v>45</v>
      </c>
      <c r="P57">
        <v>0</v>
      </c>
      <c r="Q57" s="17">
        <v>45549</v>
      </c>
      <c r="R57" s="17">
        <v>45594</v>
      </c>
      <c r="T57" s="17" t="s">
        <v>364</v>
      </c>
      <c r="V57" t="s">
        <v>179</v>
      </c>
    </row>
    <row r="58" spans="1:22" x14ac:dyDescent="0.35">
      <c r="A58" t="s">
        <v>93</v>
      </c>
      <c r="B58" t="s">
        <v>219</v>
      </c>
      <c r="C58" t="s">
        <v>48</v>
      </c>
      <c r="D58" t="s">
        <v>254</v>
      </c>
      <c r="E58" t="s">
        <v>6</v>
      </c>
      <c r="F58" t="s">
        <v>107</v>
      </c>
      <c r="G58" s="13" t="s">
        <v>317</v>
      </c>
      <c r="H58" t="s">
        <v>112</v>
      </c>
      <c r="I58" s="11" t="s">
        <v>328</v>
      </c>
      <c r="J58" t="s">
        <v>115</v>
      </c>
      <c r="K58" t="s">
        <v>115</v>
      </c>
      <c r="L58" s="12" t="s">
        <v>94</v>
      </c>
      <c r="M58" s="15">
        <v>10987</v>
      </c>
      <c r="N58" t="s">
        <v>12</v>
      </c>
      <c r="O58">
        <v>45</v>
      </c>
      <c r="P58">
        <v>29</v>
      </c>
      <c r="Q58" s="17">
        <v>45549</v>
      </c>
      <c r="R58" s="17">
        <v>45594</v>
      </c>
      <c r="S58" s="17">
        <v>45578</v>
      </c>
      <c r="T58"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8" t="s">
        <v>216</v>
      </c>
      <c r="V58" t="s">
        <v>132</v>
      </c>
    </row>
    <row r="59" spans="1:22" x14ac:dyDescent="0.35">
      <c r="A59" t="s">
        <v>93</v>
      </c>
      <c r="B59" t="s">
        <v>219</v>
      </c>
      <c r="C59" t="s">
        <v>48</v>
      </c>
      <c r="D59" t="s">
        <v>254</v>
      </c>
      <c r="E59" t="s">
        <v>6</v>
      </c>
      <c r="F59" t="s">
        <v>107</v>
      </c>
      <c r="G59" s="13" t="s">
        <v>317</v>
      </c>
      <c r="H59" t="s">
        <v>112</v>
      </c>
      <c r="I59" s="11" t="s">
        <v>328</v>
      </c>
      <c r="J59" t="s">
        <v>115</v>
      </c>
      <c r="K59" t="s">
        <v>115</v>
      </c>
      <c r="L59" s="12" t="s">
        <v>94</v>
      </c>
      <c r="M59" s="15">
        <v>10987</v>
      </c>
      <c r="N59" t="s">
        <v>12</v>
      </c>
      <c r="O59">
        <v>45</v>
      </c>
      <c r="P59">
        <v>29</v>
      </c>
      <c r="Q59" s="17">
        <v>45549</v>
      </c>
      <c r="R59" s="17">
        <v>45594</v>
      </c>
      <c r="S59" s="17">
        <v>45578</v>
      </c>
      <c r="T59"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59" t="s">
        <v>216</v>
      </c>
      <c r="V59" t="s">
        <v>132</v>
      </c>
    </row>
    <row r="60" spans="1:22" x14ac:dyDescent="0.35">
      <c r="A60" t="s">
        <v>244</v>
      </c>
      <c r="B60" t="s">
        <v>219</v>
      </c>
      <c r="C60" t="s">
        <v>96</v>
      </c>
      <c r="D60" t="s">
        <v>263</v>
      </c>
      <c r="E60" t="s">
        <v>6</v>
      </c>
      <c r="F60" t="s">
        <v>187</v>
      </c>
      <c r="G60" s="13" t="s">
        <v>317</v>
      </c>
      <c r="H60" t="s">
        <v>317</v>
      </c>
      <c r="I60" s="11" t="s">
        <v>324</v>
      </c>
      <c r="K60" t="s">
        <v>324</v>
      </c>
      <c r="L60" t="s">
        <v>45</v>
      </c>
      <c r="M60" s="15">
        <v>10319</v>
      </c>
      <c r="N60" t="s">
        <v>12</v>
      </c>
      <c r="O60">
        <v>45</v>
      </c>
      <c r="P60">
        <v>35</v>
      </c>
      <c r="Q60" s="17">
        <v>45549</v>
      </c>
      <c r="R60" s="17">
        <v>45594</v>
      </c>
      <c r="S60" s="17">
        <v>45584</v>
      </c>
      <c r="T60"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0" t="s">
        <v>216</v>
      </c>
      <c r="V60" t="s">
        <v>132</v>
      </c>
    </row>
    <row r="61" spans="1:22" x14ac:dyDescent="0.35">
      <c r="A61" t="s">
        <v>245</v>
      </c>
      <c r="B61" t="s">
        <v>219</v>
      </c>
      <c r="C61" t="s">
        <v>80</v>
      </c>
      <c r="D61" t="s">
        <v>264</v>
      </c>
      <c r="E61" t="s">
        <v>6</v>
      </c>
      <c r="F61" t="s">
        <v>107</v>
      </c>
      <c r="G61" s="13" t="s">
        <v>114</v>
      </c>
      <c r="H61" t="s">
        <v>111</v>
      </c>
      <c r="I61" s="11" t="s">
        <v>328</v>
      </c>
      <c r="J61" t="s">
        <v>119</v>
      </c>
      <c r="K61" t="s">
        <v>119</v>
      </c>
      <c r="L61" t="s">
        <v>81</v>
      </c>
      <c r="M61" s="15">
        <v>12999</v>
      </c>
      <c r="N61" t="s">
        <v>82</v>
      </c>
      <c r="O61">
        <v>67</v>
      </c>
      <c r="P61">
        <v>33</v>
      </c>
      <c r="Q61" s="17">
        <v>45549</v>
      </c>
      <c r="R61" s="17">
        <v>45616</v>
      </c>
      <c r="S61" s="17">
        <v>45582</v>
      </c>
      <c r="T61"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1" t="s">
        <v>214</v>
      </c>
      <c r="V61" t="s">
        <v>132</v>
      </c>
    </row>
    <row r="62" spans="1:22" x14ac:dyDescent="0.35">
      <c r="A62" t="s">
        <v>83</v>
      </c>
      <c r="B62" t="s">
        <v>219</v>
      </c>
      <c r="C62" t="s">
        <v>84</v>
      </c>
      <c r="D62" t="s">
        <v>262</v>
      </c>
      <c r="E62" t="s">
        <v>6</v>
      </c>
      <c r="F62" t="s">
        <v>107</v>
      </c>
      <c r="G62" s="13" t="s">
        <v>323</v>
      </c>
      <c r="H62" t="s">
        <v>317</v>
      </c>
      <c r="I62" s="11" t="s">
        <v>324</v>
      </c>
      <c r="J62" t="s">
        <v>116</v>
      </c>
      <c r="K62" t="s">
        <v>324</v>
      </c>
      <c r="L62" t="s">
        <v>75</v>
      </c>
      <c r="M62" s="15">
        <v>21999</v>
      </c>
      <c r="N62" t="s">
        <v>12</v>
      </c>
      <c r="O62">
        <v>67</v>
      </c>
      <c r="P62">
        <v>0</v>
      </c>
      <c r="Q62" s="17">
        <v>45549</v>
      </c>
      <c r="R62" s="17">
        <v>45616</v>
      </c>
      <c r="T62" s="17" t="s">
        <v>364</v>
      </c>
      <c r="V62" t="s">
        <v>179</v>
      </c>
    </row>
    <row r="63" spans="1:22" x14ac:dyDescent="0.35">
      <c r="A63" t="s">
        <v>246</v>
      </c>
      <c r="B63" t="s">
        <v>219</v>
      </c>
      <c r="C63" t="s">
        <v>65</v>
      </c>
      <c r="D63" t="s">
        <v>254</v>
      </c>
      <c r="E63" t="s">
        <v>6</v>
      </c>
      <c r="F63" t="s">
        <v>107</v>
      </c>
      <c r="G63" s="13" t="s">
        <v>317</v>
      </c>
      <c r="H63" t="s">
        <v>109</v>
      </c>
      <c r="I63" s="11" t="s">
        <v>329</v>
      </c>
      <c r="J63" t="s">
        <v>119</v>
      </c>
      <c r="K63" t="s">
        <v>119</v>
      </c>
      <c r="L63" t="s">
        <v>90</v>
      </c>
      <c r="M63" s="15">
        <v>12399</v>
      </c>
      <c r="N63" t="s">
        <v>12</v>
      </c>
      <c r="O63">
        <v>67</v>
      </c>
      <c r="P63">
        <v>17</v>
      </c>
      <c r="Q63" s="17">
        <v>45549</v>
      </c>
      <c r="R63" s="17">
        <v>45616</v>
      </c>
      <c r="S63" s="17">
        <v>45566</v>
      </c>
      <c r="T63"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3" t="s">
        <v>214</v>
      </c>
      <c r="V63" t="s">
        <v>132</v>
      </c>
    </row>
    <row r="64" spans="1:22" x14ac:dyDescent="0.35">
      <c r="A64" t="s">
        <v>95</v>
      </c>
      <c r="B64" t="s">
        <v>219</v>
      </c>
      <c r="C64" t="s">
        <v>48</v>
      </c>
      <c r="D64" t="s">
        <v>254</v>
      </c>
      <c r="E64" t="s">
        <v>6</v>
      </c>
      <c r="F64" t="s">
        <v>107</v>
      </c>
      <c r="G64" s="13" t="s">
        <v>323</v>
      </c>
      <c r="H64" t="s">
        <v>317</v>
      </c>
      <c r="I64" s="11" t="s">
        <v>324</v>
      </c>
      <c r="J64" t="s">
        <v>116</v>
      </c>
      <c r="K64" t="s">
        <v>324</v>
      </c>
      <c r="L64" t="s">
        <v>75</v>
      </c>
      <c r="M64" s="15">
        <v>21999</v>
      </c>
      <c r="N64" t="s">
        <v>12</v>
      </c>
      <c r="O64">
        <v>67</v>
      </c>
      <c r="P64">
        <v>25</v>
      </c>
      <c r="Q64" s="17">
        <v>45549</v>
      </c>
      <c r="R64" s="17">
        <v>45616</v>
      </c>
      <c r="S64" s="17">
        <v>45574</v>
      </c>
      <c r="T64"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4" t="s">
        <v>216</v>
      </c>
      <c r="V64" t="s">
        <v>132</v>
      </c>
    </row>
    <row r="65" spans="1:22" x14ac:dyDescent="0.35">
      <c r="A65" t="s">
        <v>247</v>
      </c>
      <c r="B65" t="s">
        <v>219</v>
      </c>
      <c r="C65" t="s">
        <v>44</v>
      </c>
      <c r="D65" t="s">
        <v>254</v>
      </c>
      <c r="E65" t="s">
        <v>6</v>
      </c>
      <c r="F65" t="s">
        <v>107</v>
      </c>
      <c r="G65" s="13" t="s">
        <v>317</v>
      </c>
      <c r="H65" t="s">
        <v>109</v>
      </c>
      <c r="I65" s="11" t="s">
        <v>327</v>
      </c>
      <c r="J65" t="s">
        <v>115</v>
      </c>
      <c r="K65" t="s">
        <v>115</v>
      </c>
      <c r="L65" t="s">
        <v>97</v>
      </c>
      <c r="M65" s="15">
        <v>10999</v>
      </c>
      <c r="N65" t="s">
        <v>82</v>
      </c>
      <c r="O65">
        <v>67</v>
      </c>
      <c r="P65">
        <v>32</v>
      </c>
      <c r="Q65" s="17">
        <v>45549</v>
      </c>
      <c r="R65" s="17">
        <v>45616</v>
      </c>
      <c r="S65" s="17">
        <v>45581</v>
      </c>
      <c r="T65"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5" t="s">
        <v>216</v>
      </c>
      <c r="V65" t="s">
        <v>132</v>
      </c>
    </row>
    <row r="66" spans="1:22" x14ac:dyDescent="0.35">
      <c r="A66" t="s">
        <v>125</v>
      </c>
      <c r="B66" t="s">
        <v>219</v>
      </c>
      <c r="C66" t="s">
        <v>126</v>
      </c>
      <c r="E66" t="s">
        <v>6</v>
      </c>
      <c r="F66" t="s">
        <v>107</v>
      </c>
      <c r="G66" s="13" t="s">
        <v>114</v>
      </c>
      <c r="H66" t="s">
        <v>111</v>
      </c>
      <c r="I66" s="11" t="s">
        <v>327</v>
      </c>
      <c r="J66" t="s">
        <v>115</v>
      </c>
      <c r="K66" t="s">
        <v>115</v>
      </c>
      <c r="L66" t="s">
        <v>272</v>
      </c>
      <c r="M66" s="15">
        <v>10999</v>
      </c>
      <c r="N66" t="s">
        <v>82</v>
      </c>
      <c r="O66">
        <v>66</v>
      </c>
      <c r="P66">
        <v>31</v>
      </c>
      <c r="Q66" s="17">
        <v>45550</v>
      </c>
      <c r="R66" s="17">
        <v>45616</v>
      </c>
      <c r="S66" s="17">
        <v>45581</v>
      </c>
      <c r="T66"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6" t="s">
        <v>216</v>
      </c>
      <c r="V66" t="s">
        <v>132</v>
      </c>
    </row>
    <row r="67" spans="1:22" x14ac:dyDescent="0.35">
      <c r="A67" t="s">
        <v>125</v>
      </c>
      <c r="B67" t="s">
        <v>219</v>
      </c>
      <c r="C67" t="s">
        <v>126</v>
      </c>
      <c r="E67" t="s">
        <v>6</v>
      </c>
      <c r="F67" t="s">
        <v>107</v>
      </c>
      <c r="G67" s="13" t="s">
        <v>114</v>
      </c>
      <c r="H67" t="s">
        <v>111</v>
      </c>
      <c r="I67" s="11" t="s">
        <v>327</v>
      </c>
      <c r="J67" t="s">
        <v>115</v>
      </c>
      <c r="K67" t="s">
        <v>115</v>
      </c>
      <c r="L67" t="s">
        <v>272</v>
      </c>
      <c r="M67" s="15">
        <v>10999</v>
      </c>
      <c r="N67" t="s">
        <v>82</v>
      </c>
      <c r="O67">
        <v>66</v>
      </c>
      <c r="P67">
        <v>31</v>
      </c>
      <c r="Q67" s="17">
        <v>45550</v>
      </c>
      <c r="R67" s="17">
        <v>45616</v>
      </c>
      <c r="S67" s="17">
        <v>45581</v>
      </c>
      <c r="T67"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7" t="s">
        <v>216</v>
      </c>
      <c r="V67" t="s">
        <v>132</v>
      </c>
    </row>
    <row r="68" spans="1:22" x14ac:dyDescent="0.35">
      <c r="A68" t="s">
        <v>127</v>
      </c>
      <c r="B68" t="s">
        <v>219</v>
      </c>
      <c r="C68" t="s">
        <v>128</v>
      </c>
      <c r="D68" t="s">
        <v>263</v>
      </c>
      <c r="E68" t="s">
        <v>6</v>
      </c>
      <c r="F68" t="s">
        <v>138</v>
      </c>
      <c r="G68" s="13" t="s">
        <v>317</v>
      </c>
      <c r="H68" t="s">
        <v>317</v>
      </c>
      <c r="I68" s="11" t="s">
        <v>324</v>
      </c>
      <c r="J68" t="s">
        <v>116</v>
      </c>
      <c r="K68" t="s">
        <v>119</v>
      </c>
      <c r="L68" t="s">
        <v>273</v>
      </c>
      <c r="M68" s="15">
        <v>21999</v>
      </c>
      <c r="N68" t="s">
        <v>82</v>
      </c>
      <c r="O68">
        <v>66</v>
      </c>
      <c r="P68">
        <v>34</v>
      </c>
      <c r="Q68" s="17">
        <v>45550</v>
      </c>
      <c r="R68" s="17">
        <v>45616</v>
      </c>
      <c r="S68" s="17">
        <v>45584</v>
      </c>
      <c r="T68"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68" t="s">
        <v>216</v>
      </c>
      <c r="V68" t="s">
        <v>132</v>
      </c>
    </row>
    <row r="69" spans="1:22" x14ac:dyDescent="0.35">
      <c r="A69" t="s">
        <v>131</v>
      </c>
      <c r="B69" t="s">
        <v>219</v>
      </c>
      <c r="C69" t="s">
        <v>102</v>
      </c>
      <c r="D69" t="s">
        <v>262</v>
      </c>
      <c r="E69" t="s">
        <v>6</v>
      </c>
      <c r="F69" t="s">
        <v>187</v>
      </c>
      <c r="G69" s="13" t="s">
        <v>190</v>
      </c>
      <c r="H69" t="s">
        <v>190</v>
      </c>
      <c r="I69" s="11" t="s">
        <v>324</v>
      </c>
      <c r="K69" t="s">
        <v>324</v>
      </c>
      <c r="L69" t="s">
        <v>265</v>
      </c>
      <c r="M69" s="15">
        <v>7849</v>
      </c>
      <c r="N69" t="s">
        <v>255</v>
      </c>
      <c r="O69">
        <v>44</v>
      </c>
      <c r="P69">
        <v>59</v>
      </c>
      <c r="Q69" s="17">
        <v>45551</v>
      </c>
      <c r="R69" s="17">
        <v>45595</v>
      </c>
      <c r="S69" s="17">
        <v>45610</v>
      </c>
      <c r="T69" s="17" t="str">
        <f>IF(OR(LEN(TRIM(table2[[#This Row],[تاريخ التسليم]]))=0,LEN(TRIM(table2[[#This Row],[ميعاد التسليم]]))=0),"",IF(table2[[#This Row],[تاريخ التسليم]]&lt;=table2[[#This Row],[ميعاد التسليم]],"تم التسليم في الموعد","متأخر"))</f>
        <v>متأخر</v>
      </c>
      <c r="U69" t="s">
        <v>214</v>
      </c>
      <c r="V69" t="s">
        <v>132</v>
      </c>
    </row>
    <row r="70" spans="1:22" x14ac:dyDescent="0.35">
      <c r="A70" t="s">
        <v>60</v>
      </c>
      <c r="B70" t="s">
        <v>221</v>
      </c>
      <c r="C70" t="s">
        <v>133</v>
      </c>
      <c r="E70" t="s">
        <v>253</v>
      </c>
      <c r="F70" t="s">
        <v>107</v>
      </c>
      <c r="G70" s="13" t="s">
        <v>114</v>
      </c>
      <c r="H70" t="s">
        <v>111</v>
      </c>
      <c r="I70" s="11" t="s">
        <v>327</v>
      </c>
      <c r="J70" t="s">
        <v>115</v>
      </c>
      <c r="K70" t="s">
        <v>115</v>
      </c>
      <c r="L70" t="s">
        <v>272</v>
      </c>
      <c r="M70" s="15">
        <v>5074</v>
      </c>
      <c r="N70" t="s">
        <v>62</v>
      </c>
      <c r="O70">
        <v>14</v>
      </c>
      <c r="P70">
        <v>21</v>
      </c>
      <c r="Q70" s="17">
        <v>45556</v>
      </c>
      <c r="R70" s="17">
        <v>45570</v>
      </c>
      <c r="S70" s="17">
        <v>45577</v>
      </c>
      <c r="T70" s="17" t="str">
        <f>IF(OR(LEN(TRIM(table2[[#This Row],[تاريخ التسليم]]))=0,LEN(TRIM(table2[[#This Row],[ميعاد التسليم]]))=0),"",IF(table2[[#This Row],[تاريخ التسليم]]&lt;=table2[[#This Row],[ميعاد التسليم]],"تم التسليم في الموعد","متأخر"))</f>
        <v>متأخر</v>
      </c>
      <c r="U70" t="s">
        <v>216</v>
      </c>
      <c r="V70" t="s">
        <v>132</v>
      </c>
    </row>
    <row r="71" spans="1:22" x14ac:dyDescent="0.35">
      <c r="A71" t="s">
        <v>30</v>
      </c>
      <c r="B71" t="s">
        <v>221</v>
      </c>
      <c r="C71" t="s">
        <v>29</v>
      </c>
      <c r="D71" t="s">
        <v>254</v>
      </c>
      <c r="E71" t="s">
        <v>30</v>
      </c>
      <c r="F71" t="s">
        <v>107</v>
      </c>
      <c r="G71" s="13" t="s">
        <v>114</v>
      </c>
      <c r="H71" t="s">
        <v>110</v>
      </c>
      <c r="I71" s="11" t="s">
        <v>329</v>
      </c>
      <c r="J71" t="s">
        <v>134</v>
      </c>
      <c r="K71" t="s">
        <v>333</v>
      </c>
      <c r="L71" t="s">
        <v>274</v>
      </c>
      <c r="M71" s="15">
        <v>6250</v>
      </c>
      <c r="N71" t="s">
        <v>62</v>
      </c>
      <c r="O71">
        <v>15</v>
      </c>
      <c r="P71">
        <v>24</v>
      </c>
      <c r="Q71" s="17">
        <v>45558</v>
      </c>
      <c r="R71" s="17">
        <v>45573</v>
      </c>
      <c r="S71" s="17">
        <v>45582</v>
      </c>
      <c r="T71" s="17" t="str">
        <f>IF(OR(LEN(TRIM(table2[[#This Row],[تاريخ التسليم]]))=0,LEN(TRIM(table2[[#This Row],[ميعاد التسليم]]))=0),"",IF(table2[[#This Row],[تاريخ التسليم]]&lt;=table2[[#This Row],[ميعاد التسليم]],"تم التسليم في الموعد","متأخر"))</f>
        <v>متأخر</v>
      </c>
      <c r="U71" t="s">
        <v>216</v>
      </c>
      <c r="V71" t="s">
        <v>132</v>
      </c>
    </row>
    <row r="72" spans="1:22" x14ac:dyDescent="0.35">
      <c r="A72" t="s">
        <v>30</v>
      </c>
      <c r="B72" t="s">
        <v>221</v>
      </c>
      <c r="C72" t="s">
        <v>29</v>
      </c>
      <c r="D72" t="s">
        <v>254</v>
      </c>
      <c r="E72" t="s">
        <v>30</v>
      </c>
      <c r="F72" t="s">
        <v>107</v>
      </c>
      <c r="G72" s="13" t="s">
        <v>114</v>
      </c>
      <c r="H72" t="s">
        <v>110</v>
      </c>
      <c r="I72" s="11" t="s">
        <v>329</v>
      </c>
      <c r="J72" t="s">
        <v>134</v>
      </c>
      <c r="K72" t="s">
        <v>333</v>
      </c>
      <c r="L72" t="s">
        <v>274</v>
      </c>
      <c r="M72" s="15">
        <v>6250</v>
      </c>
      <c r="N72" t="s">
        <v>62</v>
      </c>
      <c r="O72">
        <v>15</v>
      </c>
      <c r="P72">
        <v>24</v>
      </c>
      <c r="Q72" s="17">
        <v>45558</v>
      </c>
      <c r="R72" s="17">
        <v>45573</v>
      </c>
      <c r="S72" s="17">
        <v>45582</v>
      </c>
      <c r="T72" s="17" t="str">
        <f>IF(OR(LEN(TRIM(table2[[#This Row],[تاريخ التسليم]]))=0,LEN(TRIM(table2[[#This Row],[ميعاد التسليم]]))=0),"",IF(table2[[#This Row],[تاريخ التسليم]]&lt;=table2[[#This Row],[ميعاد التسليم]],"تم التسليم في الموعد","متأخر"))</f>
        <v>متأخر</v>
      </c>
      <c r="U72" t="s">
        <v>216</v>
      </c>
      <c r="V72" t="s">
        <v>132</v>
      </c>
    </row>
    <row r="73" spans="1:22" x14ac:dyDescent="0.35">
      <c r="A73" t="s">
        <v>135</v>
      </c>
      <c r="B73" t="s">
        <v>219</v>
      </c>
      <c r="C73" t="s">
        <v>29</v>
      </c>
      <c r="D73" t="s">
        <v>254</v>
      </c>
      <c r="E73" t="s">
        <v>6</v>
      </c>
      <c r="F73" t="s">
        <v>107</v>
      </c>
      <c r="G73" s="13" t="s">
        <v>319</v>
      </c>
      <c r="H73" t="s">
        <v>123</v>
      </c>
      <c r="I73" s="11" t="s">
        <v>328</v>
      </c>
      <c r="J73" t="s">
        <v>115</v>
      </c>
      <c r="K73" t="s">
        <v>115</v>
      </c>
      <c r="L73" t="s">
        <v>268</v>
      </c>
      <c r="M73" s="15">
        <v>8943</v>
      </c>
      <c r="N73" t="s">
        <v>255</v>
      </c>
      <c r="O73">
        <v>45</v>
      </c>
      <c r="P73">
        <v>14</v>
      </c>
      <c r="Q73" s="17">
        <v>45561</v>
      </c>
      <c r="R73" s="17">
        <v>45606</v>
      </c>
      <c r="S73" s="17">
        <v>45575</v>
      </c>
      <c r="T73"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73" t="s">
        <v>216</v>
      </c>
      <c r="V73" t="s">
        <v>132</v>
      </c>
    </row>
    <row r="74" spans="1:22" x14ac:dyDescent="0.35">
      <c r="A74" t="s">
        <v>136</v>
      </c>
      <c r="B74" t="s">
        <v>219</v>
      </c>
      <c r="C74" t="s">
        <v>137</v>
      </c>
      <c r="D74" t="s">
        <v>259</v>
      </c>
      <c r="E74" t="s">
        <v>6</v>
      </c>
      <c r="F74" t="s">
        <v>187</v>
      </c>
      <c r="G74" s="13" t="s">
        <v>129</v>
      </c>
      <c r="H74" t="s">
        <v>317</v>
      </c>
      <c r="I74" s="11" t="s">
        <v>324</v>
      </c>
      <c r="K74" t="s">
        <v>324</v>
      </c>
      <c r="L74" t="s">
        <v>270</v>
      </c>
      <c r="M74" s="15">
        <v>8349</v>
      </c>
      <c r="N74" t="s">
        <v>255</v>
      </c>
      <c r="O74">
        <v>45</v>
      </c>
      <c r="P74">
        <v>0</v>
      </c>
      <c r="Q74" s="17">
        <v>45561</v>
      </c>
      <c r="R74" s="17">
        <v>45606</v>
      </c>
      <c r="T74" s="17" t="s">
        <v>364</v>
      </c>
      <c r="V74" t="s">
        <v>179</v>
      </c>
    </row>
    <row r="75" spans="1:22" x14ac:dyDescent="0.35">
      <c r="A75" t="s">
        <v>37</v>
      </c>
      <c r="B75" t="s">
        <v>221</v>
      </c>
      <c r="C75" t="s">
        <v>155</v>
      </c>
      <c r="D75" t="s">
        <v>254</v>
      </c>
      <c r="E75" t="s">
        <v>23</v>
      </c>
      <c r="F75" t="s">
        <v>138</v>
      </c>
      <c r="G75" s="13" t="s">
        <v>317</v>
      </c>
      <c r="H75" t="s">
        <v>317</v>
      </c>
      <c r="I75" s="11" t="s">
        <v>324</v>
      </c>
      <c r="K75" t="s">
        <v>334</v>
      </c>
      <c r="L75" t="s">
        <v>275</v>
      </c>
      <c r="M75" s="15">
        <v>14950</v>
      </c>
      <c r="N75" t="s">
        <v>12</v>
      </c>
      <c r="O75">
        <v>18</v>
      </c>
      <c r="P75">
        <v>17</v>
      </c>
      <c r="Q75" s="17">
        <v>45561</v>
      </c>
      <c r="R75" s="17">
        <v>45579</v>
      </c>
      <c r="S75" s="17">
        <v>45578</v>
      </c>
      <c r="T75"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75" t="s">
        <v>216</v>
      </c>
      <c r="V75" t="s">
        <v>132</v>
      </c>
    </row>
    <row r="76" spans="1:22" x14ac:dyDescent="0.35">
      <c r="A76" t="s">
        <v>37</v>
      </c>
      <c r="B76" t="s">
        <v>221</v>
      </c>
      <c r="E76" t="s">
        <v>23</v>
      </c>
      <c r="F76" t="s">
        <v>107</v>
      </c>
      <c r="G76" s="13" t="s">
        <v>114</v>
      </c>
      <c r="H76" t="s">
        <v>110</v>
      </c>
      <c r="I76" s="11" t="s">
        <v>329</v>
      </c>
      <c r="J76" t="s">
        <v>139</v>
      </c>
      <c r="K76" t="s">
        <v>116</v>
      </c>
      <c r="L76" t="s">
        <v>276</v>
      </c>
      <c r="M76" s="15">
        <v>9208</v>
      </c>
      <c r="N76" t="s">
        <v>255</v>
      </c>
      <c r="O76">
        <v>18</v>
      </c>
      <c r="P76">
        <v>0</v>
      </c>
      <c r="Q76" s="17">
        <v>45561</v>
      </c>
      <c r="R76" s="17">
        <v>45579</v>
      </c>
      <c r="T76" s="17" t="s">
        <v>364</v>
      </c>
      <c r="V76" t="s">
        <v>179</v>
      </c>
    </row>
    <row r="77" spans="1:22" x14ac:dyDescent="0.35">
      <c r="A77" t="s">
        <v>37</v>
      </c>
      <c r="B77" t="s">
        <v>221</v>
      </c>
      <c r="E77" t="s">
        <v>23</v>
      </c>
      <c r="F77" t="s">
        <v>107</v>
      </c>
      <c r="G77" s="13" t="s">
        <v>319</v>
      </c>
      <c r="H77" t="s">
        <v>112</v>
      </c>
      <c r="I77" s="11" t="s">
        <v>328</v>
      </c>
      <c r="J77" t="s">
        <v>115</v>
      </c>
      <c r="K77" t="s">
        <v>115</v>
      </c>
      <c r="L77" t="s">
        <v>266</v>
      </c>
      <c r="M77" s="15">
        <v>7433</v>
      </c>
      <c r="N77" t="s">
        <v>12</v>
      </c>
      <c r="O77">
        <v>21</v>
      </c>
      <c r="P77">
        <v>22</v>
      </c>
      <c r="Q77" s="17">
        <v>45564</v>
      </c>
      <c r="R77" s="17">
        <v>45585</v>
      </c>
      <c r="S77" s="17">
        <v>45586</v>
      </c>
      <c r="T77" s="17" t="str">
        <f>IF(OR(LEN(TRIM(table2[[#This Row],[تاريخ التسليم]]))=0,LEN(TRIM(table2[[#This Row],[ميعاد التسليم]]))=0),"",IF(table2[[#This Row],[تاريخ التسليم]]&lt;=table2[[#This Row],[ميعاد التسليم]],"تم التسليم في الموعد","متأخر"))</f>
        <v>متأخر</v>
      </c>
      <c r="U77" t="s">
        <v>216</v>
      </c>
      <c r="V77" t="s">
        <v>132</v>
      </c>
    </row>
    <row r="78" spans="1:22" x14ac:dyDescent="0.35">
      <c r="A78" t="s">
        <v>60</v>
      </c>
      <c r="B78" t="s">
        <v>221</v>
      </c>
      <c r="C78" t="s">
        <v>133</v>
      </c>
      <c r="E78" t="s">
        <v>253</v>
      </c>
      <c r="F78" t="s">
        <v>107</v>
      </c>
      <c r="G78" s="13" t="s">
        <v>319</v>
      </c>
      <c r="H78" t="s">
        <v>123</v>
      </c>
      <c r="I78" s="11" t="s">
        <v>328</v>
      </c>
      <c r="J78" t="s">
        <v>115</v>
      </c>
      <c r="K78" t="s">
        <v>115</v>
      </c>
      <c r="L78" t="s">
        <v>268</v>
      </c>
      <c r="M78" s="15">
        <v>4020</v>
      </c>
      <c r="N78" t="s">
        <v>62</v>
      </c>
      <c r="O78">
        <v>13</v>
      </c>
      <c r="P78">
        <v>13</v>
      </c>
      <c r="Q78" s="17">
        <v>45564</v>
      </c>
      <c r="R78" s="17">
        <v>45577</v>
      </c>
      <c r="S78" s="17">
        <v>45577</v>
      </c>
      <c r="T78"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78" t="s">
        <v>216</v>
      </c>
      <c r="V78" t="s">
        <v>132</v>
      </c>
    </row>
    <row r="79" spans="1:22" x14ac:dyDescent="0.35">
      <c r="A79" t="s">
        <v>141</v>
      </c>
      <c r="B79" t="s">
        <v>219</v>
      </c>
      <c r="C79" t="s">
        <v>142</v>
      </c>
      <c r="D79" t="s">
        <v>143</v>
      </c>
      <c r="E79" t="s">
        <v>143</v>
      </c>
      <c r="F79" t="s">
        <v>107</v>
      </c>
      <c r="G79" s="13" t="s">
        <v>114</v>
      </c>
      <c r="H79" t="s">
        <v>144</v>
      </c>
      <c r="I79" s="11" t="s">
        <v>329</v>
      </c>
      <c r="J79" t="s">
        <v>145</v>
      </c>
      <c r="K79" t="s">
        <v>145</v>
      </c>
      <c r="L79" t="s">
        <v>277</v>
      </c>
      <c r="M79" s="15">
        <v>8544.9054400000005</v>
      </c>
      <c r="N79">
        <v>0</v>
      </c>
      <c r="O79">
        <v>8</v>
      </c>
      <c r="P79">
        <v>8</v>
      </c>
      <c r="Q79" s="17">
        <v>45566</v>
      </c>
      <c r="R79" s="17">
        <v>45574</v>
      </c>
      <c r="S79" s="17">
        <v>45574</v>
      </c>
      <c r="T79"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79" t="s">
        <v>213</v>
      </c>
      <c r="V79" t="s">
        <v>132</v>
      </c>
    </row>
    <row r="80" spans="1:22" x14ac:dyDescent="0.35">
      <c r="A80" t="s">
        <v>141</v>
      </c>
      <c r="B80" t="s">
        <v>219</v>
      </c>
      <c r="C80" t="s">
        <v>142</v>
      </c>
      <c r="D80" t="s">
        <v>143</v>
      </c>
      <c r="E80" t="s">
        <v>143</v>
      </c>
      <c r="F80" t="s">
        <v>107</v>
      </c>
      <c r="G80" s="13" t="s">
        <v>108</v>
      </c>
      <c r="H80" t="s">
        <v>108</v>
      </c>
      <c r="I80" s="11" t="s">
        <v>324</v>
      </c>
      <c r="J80" t="s">
        <v>147</v>
      </c>
      <c r="K80" t="s">
        <v>148</v>
      </c>
      <c r="L80" t="s">
        <v>278</v>
      </c>
      <c r="M80" s="15">
        <v>4600</v>
      </c>
      <c r="N80">
        <v>0</v>
      </c>
      <c r="O80">
        <v>8</v>
      </c>
      <c r="P80">
        <v>8</v>
      </c>
      <c r="Q80" s="17">
        <v>45566</v>
      </c>
      <c r="R80" s="17">
        <v>45574</v>
      </c>
      <c r="S80" s="17">
        <v>45574</v>
      </c>
      <c r="T80"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0" t="s">
        <v>213</v>
      </c>
      <c r="V80" t="s">
        <v>132</v>
      </c>
    </row>
    <row r="81" spans="1:22" x14ac:dyDescent="0.35">
      <c r="A81" t="s">
        <v>141</v>
      </c>
      <c r="B81" t="s">
        <v>219</v>
      </c>
      <c r="C81" t="s">
        <v>142</v>
      </c>
      <c r="D81" t="s">
        <v>143</v>
      </c>
      <c r="E81" t="s">
        <v>143</v>
      </c>
      <c r="F81" t="s">
        <v>138</v>
      </c>
      <c r="G81" s="13" t="s">
        <v>146</v>
      </c>
      <c r="H81" t="s">
        <v>146</v>
      </c>
      <c r="I81" s="11" t="s">
        <v>324</v>
      </c>
      <c r="J81" t="s">
        <v>116</v>
      </c>
      <c r="K81" t="s">
        <v>335</v>
      </c>
      <c r="L81" t="s">
        <v>279</v>
      </c>
      <c r="M81" s="15">
        <v>10000</v>
      </c>
      <c r="N81">
        <v>0</v>
      </c>
      <c r="O81">
        <v>8</v>
      </c>
      <c r="P81">
        <v>8</v>
      </c>
      <c r="Q81" s="17">
        <v>45566</v>
      </c>
      <c r="R81" s="17">
        <v>45574</v>
      </c>
      <c r="S81" s="17">
        <v>45574</v>
      </c>
      <c r="T81"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1" t="s">
        <v>213</v>
      </c>
      <c r="V81" t="s">
        <v>132</v>
      </c>
    </row>
    <row r="82" spans="1:22" x14ac:dyDescent="0.35">
      <c r="A82" t="s">
        <v>141</v>
      </c>
      <c r="B82" t="s">
        <v>219</v>
      </c>
      <c r="C82" t="s">
        <v>142</v>
      </c>
      <c r="D82" t="s">
        <v>143</v>
      </c>
      <c r="E82" t="s">
        <v>143</v>
      </c>
      <c r="F82" t="s">
        <v>149</v>
      </c>
      <c r="G82" s="13" t="s">
        <v>149</v>
      </c>
      <c r="H82" t="s">
        <v>149</v>
      </c>
      <c r="I82" s="11" t="s">
        <v>324</v>
      </c>
      <c r="J82" t="s">
        <v>116</v>
      </c>
      <c r="K82" t="s">
        <v>334</v>
      </c>
      <c r="L82" t="s">
        <v>280</v>
      </c>
      <c r="M82" s="15">
        <v>10249</v>
      </c>
      <c r="N82">
        <v>0</v>
      </c>
      <c r="O82">
        <v>8</v>
      </c>
      <c r="P82">
        <v>8</v>
      </c>
      <c r="Q82" s="17">
        <v>45566</v>
      </c>
      <c r="R82" s="17">
        <v>45574</v>
      </c>
      <c r="S82" s="17">
        <v>45574</v>
      </c>
      <c r="T82"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2" t="s">
        <v>213</v>
      </c>
      <c r="V82" t="s">
        <v>132</v>
      </c>
    </row>
    <row r="83" spans="1:22" x14ac:dyDescent="0.35">
      <c r="A83" t="s">
        <v>151</v>
      </c>
      <c r="B83" t="s">
        <v>219</v>
      </c>
      <c r="C83" t="s">
        <v>152</v>
      </c>
      <c r="D83" t="s">
        <v>254</v>
      </c>
      <c r="E83" t="s">
        <v>6</v>
      </c>
      <c r="F83" t="s">
        <v>107</v>
      </c>
      <c r="G83" s="13" t="s">
        <v>108</v>
      </c>
      <c r="H83" t="s">
        <v>108</v>
      </c>
      <c r="I83" s="11" t="s">
        <v>324</v>
      </c>
      <c r="J83" t="s">
        <v>116</v>
      </c>
      <c r="K83" t="s">
        <v>116</v>
      </c>
      <c r="L83" t="s">
        <v>269</v>
      </c>
      <c r="M83" s="15">
        <v>8899</v>
      </c>
      <c r="N83" t="s">
        <v>255</v>
      </c>
      <c r="O83">
        <v>45</v>
      </c>
      <c r="P83">
        <v>0</v>
      </c>
      <c r="Q83" s="17">
        <v>45568</v>
      </c>
      <c r="R83" s="17">
        <v>45613</v>
      </c>
      <c r="T83" s="17" t="s">
        <v>364</v>
      </c>
      <c r="V83" t="s">
        <v>179</v>
      </c>
    </row>
    <row r="84" spans="1:22" x14ac:dyDescent="0.35">
      <c r="A84" t="s">
        <v>37</v>
      </c>
      <c r="B84" t="s">
        <v>221</v>
      </c>
      <c r="C84" t="s">
        <v>153</v>
      </c>
      <c r="E84" t="s">
        <v>23</v>
      </c>
      <c r="F84" t="s">
        <v>138</v>
      </c>
      <c r="G84" s="13" t="s">
        <v>317</v>
      </c>
      <c r="H84" t="s">
        <v>317</v>
      </c>
      <c r="I84" s="11" t="s">
        <v>324</v>
      </c>
      <c r="J84" t="s">
        <v>139</v>
      </c>
      <c r="K84" t="s">
        <v>173</v>
      </c>
      <c r="L84" t="s">
        <v>281</v>
      </c>
      <c r="M84" s="15">
        <v>14550</v>
      </c>
      <c r="N84" t="s">
        <v>12</v>
      </c>
      <c r="O84">
        <v>21</v>
      </c>
      <c r="P84">
        <v>22</v>
      </c>
      <c r="Q84" s="17">
        <v>45573</v>
      </c>
      <c r="R84" s="17">
        <v>45594</v>
      </c>
      <c r="S84" s="17">
        <v>45595</v>
      </c>
      <c r="T84" s="17" t="str">
        <f>IF(OR(LEN(TRIM(table2[[#This Row],[تاريخ التسليم]]))=0,LEN(TRIM(table2[[#This Row],[ميعاد التسليم]]))=0),"",IF(table2[[#This Row],[تاريخ التسليم]]&lt;=table2[[#This Row],[ميعاد التسليم]],"تم التسليم في الموعد","متأخر"))</f>
        <v>متأخر</v>
      </c>
      <c r="U84" t="s">
        <v>216</v>
      </c>
      <c r="V84" t="s">
        <v>132</v>
      </c>
    </row>
    <row r="85" spans="1:22" x14ac:dyDescent="0.35">
      <c r="A85" t="s">
        <v>37</v>
      </c>
      <c r="B85" t="s">
        <v>221</v>
      </c>
      <c r="C85" t="s">
        <v>154</v>
      </c>
      <c r="D85" t="s">
        <v>259</v>
      </c>
      <c r="E85" t="s">
        <v>23</v>
      </c>
      <c r="F85" t="s">
        <v>138</v>
      </c>
      <c r="G85" s="13" t="s">
        <v>317</v>
      </c>
      <c r="H85" t="s">
        <v>317</v>
      </c>
      <c r="I85" s="11" t="s">
        <v>324</v>
      </c>
      <c r="J85" t="s">
        <v>139</v>
      </c>
      <c r="K85" t="s">
        <v>173</v>
      </c>
      <c r="L85" t="s">
        <v>282</v>
      </c>
      <c r="M85" s="15">
        <v>14550</v>
      </c>
      <c r="N85" t="s">
        <v>12</v>
      </c>
      <c r="O85">
        <v>22</v>
      </c>
      <c r="P85">
        <v>8</v>
      </c>
      <c r="Q85" s="17">
        <v>45572</v>
      </c>
      <c r="R85" s="17">
        <v>45594</v>
      </c>
      <c r="S85" s="17">
        <v>45580</v>
      </c>
      <c r="T85"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5" t="s">
        <v>216</v>
      </c>
      <c r="V85" t="s">
        <v>132</v>
      </c>
    </row>
    <row r="86" spans="1:22" x14ac:dyDescent="0.35">
      <c r="A86" t="s">
        <v>37</v>
      </c>
      <c r="B86" t="s">
        <v>221</v>
      </c>
      <c r="E86" t="s">
        <v>23</v>
      </c>
      <c r="F86" t="s">
        <v>138</v>
      </c>
      <c r="G86" s="13" t="s">
        <v>317</v>
      </c>
      <c r="H86" t="s">
        <v>317</v>
      </c>
      <c r="I86" s="11" t="s">
        <v>324</v>
      </c>
      <c r="J86" t="s">
        <v>139</v>
      </c>
      <c r="K86" t="s">
        <v>334</v>
      </c>
      <c r="L86" t="s">
        <v>283</v>
      </c>
      <c r="M86" s="15">
        <v>14550</v>
      </c>
      <c r="N86" t="s">
        <v>255</v>
      </c>
      <c r="O86">
        <v>21</v>
      </c>
      <c r="P86">
        <v>23</v>
      </c>
      <c r="Q86" s="17">
        <v>45575</v>
      </c>
      <c r="R86" s="17">
        <v>45596</v>
      </c>
      <c r="S86" s="17">
        <v>45598</v>
      </c>
      <c r="T86" s="17" t="str">
        <f>IF(OR(LEN(TRIM(table2[[#This Row],[تاريخ التسليم]]))=0,LEN(TRIM(table2[[#This Row],[ميعاد التسليم]]))=0),"",IF(table2[[#This Row],[تاريخ التسليم]]&lt;=table2[[#This Row],[ميعاد التسليم]],"تم التسليم في الموعد","متأخر"))</f>
        <v>متأخر</v>
      </c>
      <c r="U86" t="s">
        <v>216</v>
      </c>
      <c r="V86" t="s">
        <v>132</v>
      </c>
    </row>
    <row r="87" spans="1:22" x14ac:dyDescent="0.35">
      <c r="A87" t="s">
        <v>156</v>
      </c>
      <c r="B87" t="s">
        <v>219</v>
      </c>
      <c r="C87" t="s">
        <v>74</v>
      </c>
      <c r="D87" t="s">
        <v>254</v>
      </c>
      <c r="E87" t="s">
        <v>6</v>
      </c>
      <c r="F87" t="s">
        <v>107</v>
      </c>
      <c r="G87" s="13" t="s">
        <v>114</v>
      </c>
      <c r="H87" t="s">
        <v>109</v>
      </c>
      <c r="I87" s="11" t="s">
        <v>157</v>
      </c>
      <c r="J87" t="s">
        <v>158</v>
      </c>
      <c r="K87" t="s">
        <v>158</v>
      </c>
      <c r="L87" t="s">
        <v>284</v>
      </c>
      <c r="M87" s="15">
        <v>12899</v>
      </c>
      <c r="N87" t="s">
        <v>255</v>
      </c>
      <c r="O87">
        <v>65</v>
      </c>
      <c r="P87">
        <v>20</v>
      </c>
      <c r="Q87" s="17">
        <v>45578</v>
      </c>
      <c r="R87" s="17">
        <v>45643</v>
      </c>
      <c r="S87" s="17">
        <v>45598</v>
      </c>
      <c r="T87"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7" t="s">
        <v>216</v>
      </c>
      <c r="V87" t="s">
        <v>132</v>
      </c>
    </row>
    <row r="88" spans="1:22" x14ac:dyDescent="0.35">
      <c r="A88" t="s">
        <v>159</v>
      </c>
      <c r="B88" t="s">
        <v>219</v>
      </c>
      <c r="C88" t="s">
        <v>34</v>
      </c>
      <c r="D88" t="s">
        <v>254</v>
      </c>
      <c r="E88" t="s">
        <v>6</v>
      </c>
      <c r="F88" t="s">
        <v>107</v>
      </c>
      <c r="G88" s="13" t="s">
        <v>114</v>
      </c>
      <c r="H88" t="s">
        <v>111</v>
      </c>
      <c r="I88" s="11" t="s">
        <v>327</v>
      </c>
      <c r="J88" t="s">
        <v>115</v>
      </c>
      <c r="K88" t="s">
        <v>115</v>
      </c>
      <c r="L88" t="s">
        <v>272</v>
      </c>
      <c r="M88" s="15">
        <v>10499</v>
      </c>
      <c r="N88" t="s">
        <v>12</v>
      </c>
      <c r="O88">
        <v>64</v>
      </c>
      <c r="P88">
        <v>5</v>
      </c>
      <c r="Q88" s="17">
        <v>45581</v>
      </c>
      <c r="R88" s="17">
        <v>45645</v>
      </c>
      <c r="S88" s="17">
        <v>45586</v>
      </c>
      <c r="T88"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8" t="s">
        <v>216</v>
      </c>
      <c r="V88" t="s">
        <v>132</v>
      </c>
    </row>
    <row r="89" spans="1:22" x14ac:dyDescent="0.35">
      <c r="A89" t="s">
        <v>160</v>
      </c>
      <c r="B89" t="s">
        <v>219</v>
      </c>
      <c r="C89" t="s">
        <v>161</v>
      </c>
      <c r="D89" t="s">
        <v>260</v>
      </c>
      <c r="E89" t="s">
        <v>6</v>
      </c>
      <c r="F89" t="s">
        <v>107</v>
      </c>
      <c r="G89" s="13" t="s">
        <v>114</v>
      </c>
      <c r="H89" t="s">
        <v>109</v>
      </c>
      <c r="I89" s="11" t="s">
        <v>157</v>
      </c>
      <c r="J89" t="s">
        <v>158</v>
      </c>
      <c r="K89" t="s">
        <v>158</v>
      </c>
      <c r="L89" t="s">
        <v>285</v>
      </c>
      <c r="M89" s="15">
        <v>12899</v>
      </c>
      <c r="N89" t="s">
        <v>12</v>
      </c>
      <c r="O89">
        <v>66</v>
      </c>
      <c r="P89">
        <v>47</v>
      </c>
      <c r="Q89" s="17">
        <v>45582</v>
      </c>
      <c r="R89" s="17">
        <v>45648</v>
      </c>
      <c r="S89" s="17">
        <v>45629</v>
      </c>
      <c r="T89"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89" t="s">
        <v>214</v>
      </c>
      <c r="V89" t="s">
        <v>132</v>
      </c>
    </row>
    <row r="90" spans="1:22" x14ac:dyDescent="0.35">
      <c r="A90" t="s">
        <v>162</v>
      </c>
      <c r="B90" t="s">
        <v>219</v>
      </c>
      <c r="C90" t="s">
        <v>163</v>
      </c>
      <c r="E90" t="s">
        <v>164</v>
      </c>
      <c r="F90" t="s">
        <v>107</v>
      </c>
      <c r="G90" s="13" t="s">
        <v>319</v>
      </c>
      <c r="H90" t="s">
        <v>165</v>
      </c>
      <c r="I90" s="11" t="s">
        <v>331</v>
      </c>
      <c r="J90" t="s">
        <v>150</v>
      </c>
      <c r="K90" t="s">
        <v>334</v>
      </c>
      <c r="L90" t="s">
        <v>286</v>
      </c>
      <c r="M90" s="15">
        <v>5135</v>
      </c>
      <c r="N90" t="s">
        <v>12</v>
      </c>
      <c r="O90">
        <v>28</v>
      </c>
      <c r="P90">
        <v>25</v>
      </c>
      <c r="Q90" s="17">
        <v>45585</v>
      </c>
      <c r="R90" s="17">
        <v>45613</v>
      </c>
      <c r="S90" s="17">
        <v>45610</v>
      </c>
      <c r="T90"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90" t="s">
        <v>216</v>
      </c>
      <c r="V90" t="s">
        <v>132</v>
      </c>
    </row>
    <row r="91" spans="1:22" x14ac:dyDescent="0.35">
      <c r="A91" t="s">
        <v>37</v>
      </c>
      <c r="B91" t="s">
        <v>221</v>
      </c>
      <c r="C91" t="s">
        <v>137</v>
      </c>
      <c r="D91" t="s">
        <v>259</v>
      </c>
      <c r="E91" t="s">
        <v>23</v>
      </c>
      <c r="F91" t="s">
        <v>107</v>
      </c>
      <c r="G91" s="13" t="s">
        <v>114</v>
      </c>
      <c r="H91" t="s">
        <v>144</v>
      </c>
      <c r="I91" s="11" t="s">
        <v>329</v>
      </c>
      <c r="J91" t="s">
        <v>166</v>
      </c>
      <c r="K91" t="s">
        <v>145</v>
      </c>
      <c r="L91" t="s">
        <v>287</v>
      </c>
      <c r="M91" s="15">
        <v>12777.5</v>
      </c>
      <c r="N91" t="s">
        <v>255</v>
      </c>
      <c r="O91">
        <v>21</v>
      </c>
      <c r="P91">
        <v>27</v>
      </c>
      <c r="Q91" s="17">
        <v>45587</v>
      </c>
      <c r="R91" s="17">
        <v>45608</v>
      </c>
      <c r="S91" s="17">
        <v>45614</v>
      </c>
      <c r="T91" s="17" t="str">
        <f>IF(OR(LEN(TRIM(table2[[#This Row],[تاريخ التسليم]]))=0,LEN(TRIM(table2[[#This Row],[ميعاد التسليم]]))=0),"",IF(table2[[#This Row],[تاريخ التسليم]]&lt;=table2[[#This Row],[ميعاد التسليم]],"تم التسليم في الموعد","متأخر"))</f>
        <v>متأخر</v>
      </c>
      <c r="U91" t="s">
        <v>216</v>
      </c>
      <c r="V91" t="s">
        <v>132</v>
      </c>
    </row>
    <row r="92" spans="1:22" x14ac:dyDescent="0.35">
      <c r="A92" t="s">
        <v>37</v>
      </c>
      <c r="B92" t="s">
        <v>221</v>
      </c>
      <c r="C92" t="s">
        <v>137</v>
      </c>
      <c r="D92" t="s">
        <v>259</v>
      </c>
      <c r="E92" t="s">
        <v>23</v>
      </c>
      <c r="F92" t="s">
        <v>107</v>
      </c>
      <c r="G92" s="13" t="s">
        <v>114</v>
      </c>
      <c r="H92" t="s">
        <v>144</v>
      </c>
      <c r="I92" s="11" t="s">
        <v>329</v>
      </c>
      <c r="J92" t="s">
        <v>166</v>
      </c>
      <c r="K92" t="s">
        <v>145</v>
      </c>
      <c r="L92" t="s">
        <v>287</v>
      </c>
      <c r="M92" s="15">
        <v>12777.5</v>
      </c>
      <c r="N92" t="s">
        <v>255</v>
      </c>
      <c r="O92">
        <v>21</v>
      </c>
      <c r="P92">
        <v>27</v>
      </c>
      <c r="Q92" s="17">
        <v>45587</v>
      </c>
      <c r="R92" s="17">
        <v>45608</v>
      </c>
      <c r="S92" s="17">
        <v>45614</v>
      </c>
      <c r="T92" s="17" t="str">
        <f>IF(OR(LEN(TRIM(table2[[#This Row],[تاريخ التسليم]]))=0,LEN(TRIM(table2[[#This Row],[ميعاد التسليم]]))=0),"",IF(table2[[#This Row],[تاريخ التسليم]]&lt;=table2[[#This Row],[ميعاد التسليم]],"تم التسليم في الموعد","متأخر"))</f>
        <v>متأخر</v>
      </c>
      <c r="U92" t="s">
        <v>216</v>
      </c>
      <c r="V92" t="s">
        <v>132</v>
      </c>
    </row>
    <row r="93" spans="1:22" x14ac:dyDescent="0.35">
      <c r="A93" t="s">
        <v>60</v>
      </c>
      <c r="B93" t="s">
        <v>221</v>
      </c>
      <c r="C93" t="s">
        <v>167</v>
      </c>
      <c r="D93" t="s">
        <v>254</v>
      </c>
      <c r="E93" t="s">
        <v>253</v>
      </c>
      <c r="F93" t="s">
        <v>107</v>
      </c>
      <c r="G93" s="13" t="s">
        <v>114</v>
      </c>
      <c r="H93" t="s">
        <v>144</v>
      </c>
      <c r="I93" s="11" t="s">
        <v>329</v>
      </c>
      <c r="J93" t="s">
        <v>166</v>
      </c>
      <c r="K93" t="s">
        <v>145</v>
      </c>
      <c r="L93" t="s">
        <v>287</v>
      </c>
      <c r="M93" s="15">
        <v>8544.91</v>
      </c>
      <c r="N93" t="s">
        <v>62</v>
      </c>
      <c r="O93">
        <v>0</v>
      </c>
      <c r="P93">
        <v>0</v>
      </c>
      <c r="Q93" s="17">
        <v>45587</v>
      </c>
      <c r="T93" s="17" t="s">
        <v>364</v>
      </c>
      <c r="V93" t="s">
        <v>179</v>
      </c>
    </row>
    <row r="94" spans="1:22" x14ac:dyDescent="0.35">
      <c r="A94" t="s">
        <v>168</v>
      </c>
      <c r="B94" t="s">
        <v>219</v>
      </c>
      <c r="C94" t="s">
        <v>169</v>
      </c>
      <c r="D94" t="s">
        <v>259</v>
      </c>
      <c r="E94" t="s">
        <v>6</v>
      </c>
      <c r="F94" t="s">
        <v>107</v>
      </c>
      <c r="G94" s="13" t="s">
        <v>319</v>
      </c>
      <c r="H94" t="s">
        <v>123</v>
      </c>
      <c r="I94" s="11" t="s">
        <v>328</v>
      </c>
      <c r="J94" t="s">
        <v>115</v>
      </c>
      <c r="K94" t="s">
        <v>115</v>
      </c>
      <c r="L94" t="s">
        <v>268</v>
      </c>
      <c r="M94" s="15">
        <v>8943</v>
      </c>
      <c r="N94" t="s">
        <v>255</v>
      </c>
      <c r="O94">
        <v>24</v>
      </c>
      <c r="P94">
        <v>28</v>
      </c>
      <c r="Q94" s="17">
        <v>45586</v>
      </c>
      <c r="R94" s="17">
        <v>45610</v>
      </c>
      <c r="S94" s="17">
        <v>45614</v>
      </c>
      <c r="T94" s="17" t="str">
        <f>IF(OR(LEN(TRIM(table2[[#This Row],[تاريخ التسليم]]))=0,LEN(TRIM(table2[[#This Row],[ميعاد التسليم]]))=0),"",IF(table2[[#This Row],[تاريخ التسليم]]&lt;=table2[[#This Row],[ميعاد التسليم]],"تم التسليم في الموعد","متأخر"))</f>
        <v>متأخر</v>
      </c>
      <c r="U94" t="s">
        <v>216</v>
      </c>
      <c r="V94" t="s">
        <v>132</v>
      </c>
    </row>
    <row r="95" spans="1:22" x14ac:dyDescent="0.35">
      <c r="A95" t="s">
        <v>37</v>
      </c>
      <c r="B95" t="s">
        <v>221</v>
      </c>
      <c r="E95" t="s">
        <v>23</v>
      </c>
      <c r="F95" t="s">
        <v>138</v>
      </c>
      <c r="G95" s="13" t="s">
        <v>317</v>
      </c>
      <c r="H95" t="s">
        <v>317</v>
      </c>
      <c r="I95" s="11" t="s">
        <v>324</v>
      </c>
      <c r="J95" t="s">
        <v>116</v>
      </c>
      <c r="K95" t="s">
        <v>116</v>
      </c>
      <c r="L95" t="s">
        <v>288</v>
      </c>
      <c r="M95" s="15">
        <v>15516</v>
      </c>
      <c r="N95" t="s">
        <v>12</v>
      </c>
      <c r="O95">
        <v>21</v>
      </c>
      <c r="P95">
        <v>6</v>
      </c>
      <c r="Q95" s="17">
        <v>45589</v>
      </c>
      <c r="R95" s="17">
        <v>45610</v>
      </c>
      <c r="S95" s="17">
        <v>45595</v>
      </c>
      <c r="T95"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95" t="s">
        <v>216</v>
      </c>
      <c r="V95" t="s">
        <v>132</v>
      </c>
    </row>
    <row r="96" spans="1:22" x14ac:dyDescent="0.35">
      <c r="A96" t="s">
        <v>37</v>
      </c>
      <c r="B96" t="s">
        <v>221</v>
      </c>
      <c r="E96" t="s">
        <v>23</v>
      </c>
      <c r="F96" t="s">
        <v>107</v>
      </c>
      <c r="G96" s="13" t="s">
        <v>114</v>
      </c>
      <c r="H96" t="s">
        <v>110</v>
      </c>
      <c r="I96" s="11" t="s">
        <v>329</v>
      </c>
      <c r="J96" t="s">
        <v>116</v>
      </c>
      <c r="K96" t="s">
        <v>116</v>
      </c>
      <c r="L96" t="s">
        <v>267</v>
      </c>
      <c r="M96" s="15">
        <v>10045</v>
      </c>
      <c r="N96" t="s">
        <v>255</v>
      </c>
      <c r="O96">
        <v>21</v>
      </c>
      <c r="P96">
        <v>0</v>
      </c>
      <c r="Q96" s="17">
        <v>45591</v>
      </c>
      <c r="R96" s="17">
        <v>45612</v>
      </c>
      <c r="T96" s="17" t="s">
        <v>364</v>
      </c>
      <c r="V96" t="s">
        <v>179</v>
      </c>
    </row>
    <row r="97" spans="1:22" x14ac:dyDescent="0.35">
      <c r="A97" t="s">
        <v>93</v>
      </c>
      <c r="B97" t="s">
        <v>219</v>
      </c>
      <c r="C97" t="s">
        <v>170</v>
      </c>
      <c r="D97" t="s">
        <v>259</v>
      </c>
      <c r="E97" t="s">
        <v>6</v>
      </c>
      <c r="F97" t="s">
        <v>107</v>
      </c>
      <c r="G97" s="13" t="s">
        <v>114</v>
      </c>
      <c r="H97" t="s">
        <v>110</v>
      </c>
      <c r="I97" s="11" t="s">
        <v>325</v>
      </c>
      <c r="J97" t="s">
        <v>116</v>
      </c>
      <c r="K97" t="s">
        <v>116</v>
      </c>
      <c r="L97" t="s">
        <v>289</v>
      </c>
      <c r="M97" s="15">
        <v>11649</v>
      </c>
      <c r="N97" t="s">
        <v>255</v>
      </c>
      <c r="O97">
        <v>15</v>
      </c>
      <c r="P97">
        <v>23</v>
      </c>
      <c r="Q97" s="17">
        <v>45591</v>
      </c>
      <c r="R97" s="17">
        <v>45606</v>
      </c>
      <c r="S97" s="17">
        <v>45614</v>
      </c>
      <c r="T97" s="17" t="str">
        <f>IF(OR(LEN(TRIM(table2[[#This Row],[تاريخ التسليم]]))=0,LEN(TRIM(table2[[#This Row],[ميعاد التسليم]]))=0),"",IF(table2[[#This Row],[تاريخ التسليم]]&lt;=table2[[#This Row],[ميعاد التسليم]],"تم التسليم في الموعد","متأخر"))</f>
        <v>متأخر</v>
      </c>
      <c r="U97" t="s">
        <v>216</v>
      </c>
      <c r="V97" t="s">
        <v>132</v>
      </c>
    </row>
    <row r="98" spans="1:22" x14ac:dyDescent="0.35">
      <c r="A98" t="s">
        <v>93</v>
      </c>
      <c r="B98" t="s">
        <v>219</v>
      </c>
      <c r="C98" t="s">
        <v>170</v>
      </c>
      <c r="D98" t="s">
        <v>259</v>
      </c>
      <c r="E98" t="s">
        <v>6</v>
      </c>
      <c r="F98" t="s">
        <v>107</v>
      </c>
      <c r="G98" s="13" t="s">
        <v>114</v>
      </c>
      <c r="H98" t="s">
        <v>110</v>
      </c>
      <c r="I98" s="11" t="s">
        <v>325</v>
      </c>
      <c r="J98" t="s">
        <v>116</v>
      </c>
      <c r="K98" t="s">
        <v>116</v>
      </c>
      <c r="L98" t="s">
        <v>289</v>
      </c>
      <c r="M98" s="15">
        <v>11649</v>
      </c>
      <c r="N98" t="s">
        <v>255</v>
      </c>
      <c r="O98">
        <v>15</v>
      </c>
      <c r="P98">
        <v>23</v>
      </c>
      <c r="Q98" s="17">
        <v>45591</v>
      </c>
      <c r="R98" s="17">
        <v>45606</v>
      </c>
      <c r="S98" s="17">
        <v>45614</v>
      </c>
      <c r="T98" s="17" t="str">
        <f>IF(OR(LEN(TRIM(table2[[#This Row],[تاريخ التسليم]]))=0,LEN(TRIM(table2[[#This Row],[ميعاد التسليم]]))=0),"",IF(table2[[#This Row],[تاريخ التسليم]]&lt;=table2[[#This Row],[ميعاد التسليم]],"تم التسليم في الموعد","متأخر"))</f>
        <v>متأخر</v>
      </c>
      <c r="U98" t="s">
        <v>216</v>
      </c>
      <c r="V98" t="s">
        <v>132</v>
      </c>
    </row>
    <row r="99" spans="1:22" x14ac:dyDescent="0.35">
      <c r="A99" t="s">
        <v>171</v>
      </c>
      <c r="B99" t="s">
        <v>219</v>
      </c>
      <c r="C99" t="s">
        <v>78</v>
      </c>
      <c r="D99" t="s">
        <v>254</v>
      </c>
      <c r="E99" t="s">
        <v>6</v>
      </c>
      <c r="F99" t="s">
        <v>107</v>
      </c>
      <c r="G99" s="13" t="s">
        <v>319</v>
      </c>
      <c r="H99" t="s">
        <v>112</v>
      </c>
      <c r="I99" s="11" t="s">
        <v>329</v>
      </c>
      <c r="J99" t="s">
        <v>115</v>
      </c>
      <c r="K99" t="s">
        <v>115</v>
      </c>
      <c r="L99" t="s">
        <v>290</v>
      </c>
      <c r="M99" s="15">
        <v>5100</v>
      </c>
      <c r="N99" t="s">
        <v>255</v>
      </c>
      <c r="O99">
        <v>14</v>
      </c>
      <c r="P99">
        <v>24</v>
      </c>
      <c r="Q99" s="17">
        <v>45593</v>
      </c>
      <c r="R99" s="17">
        <v>45607</v>
      </c>
      <c r="S99" s="17">
        <v>45617</v>
      </c>
      <c r="T99" s="17" t="str">
        <f>IF(OR(LEN(TRIM(table2[[#This Row],[تاريخ التسليم]]))=0,LEN(TRIM(table2[[#This Row],[ميعاد التسليم]]))=0),"",IF(table2[[#This Row],[تاريخ التسليم]]&lt;=table2[[#This Row],[ميعاد التسليم]],"تم التسليم في الموعد","متأخر"))</f>
        <v>متأخر</v>
      </c>
      <c r="U99" t="s">
        <v>216</v>
      </c>
      <c r="V99" t="s">
        <v>132</v>
      </c>
    </row>
    <row r="100" spans="1:22" x14ac:dyDescent="0.35">
      <c r="A100" t="s">
        <v>171</v>
      </c>
      <c r="B100" t="s">
        <v>219</v>
      </c>
      <c r="C100" t="s">
        <v>78</v>
      </c>
      <c r="D100" t="s">
        <v>254</v>
      </c>
      <c r="E100" t="s">
        <v>6</v>
      </c>
      <c r="F100" t="s">
        <v>107</v>
      </c>
      <c r="G100" s="13" t="s">
        <v>319</v>
      </c>
      <c r="H100" t="s">
        <v>112</v>
      </c>
      <c r="I100" s="11" t="s">
        <v>328</v>
      </c>
      <c r="J100" t="s">
        <v>115</v>
      </c>
      <c r="K100" t="s">
        <v>115</v>
      </c>
      <c r="L100" t="s">
        <v>266</v>
      </c>
      <c r="M100" s="15">
        <v>5300</v>
      </c>
      <c r="N100" t="s">
        <v>255</v>
      </c>
      <c r="O100">
        <v>14</v>
      </c>
      <c r="P100">
        <v>24</v>
      </c>
      <c r="Q100" s="17">
        <v>45593</v>
      </c>
      <c r="R100" s="17">
        <v>45607</v>
      </c>
      <c r="S100" s="17">
        <v>45617</v>
      </c>
      <c r="T100" s="17" t="str">
        <f>IF(OR(LEN(TRIM(table2[[#This Row],[تاريخ التسليم]]))=0,LEN(TRIM(table2[[#This Row],[ميعاد التسليم]]))=0),"",IF(table2[[#This Row],[تاريخ التسليم]]&lt;=table2[[#This Row],[ميعاد التسليم]],"تم التسليم في الموعد","متأخر"))</f>
        <v>متأخر</v>
      </c>
      <c r="U100" t="s">
        <v>216</v>
      </c>
      <c r="V100" t="s">
        <v>132</v>
      </c>
    </row>
    <row r="101" spans="1:22" x14ac:dyDescent="0.35">
      <c r="A101" t="s">
        <v>248</v>
      </c>
      <c r="B101" t="s">
        <v>219</v>
      </c>
      <c r="C101" t="s">
        <v>175</v>
      </c>
      <c r="D101" t="s">
        <v>254</v>
      </c>
      <c r="E101" t="s">
        <v>6</v>
      </c>
      <c r="F101" t="s">
        <v>107</v>
      </c>
      <c r="G101" s="13" t="s">
        <v>114</v>
      </c>
      <c r="H101" t="s">
        <v>111</v>
      </c>
      <c r="I101" s="11" t="s">
        <v>327</v>
      </c>
      <c r="J101" t="s">
        <v>115</v>
      </c>
      <c r="K101" t="s">
        <v>115</v>
      </c>
      <c r="L101" t="s">
        <v>272</v>
      </c>
      <c r="M101" s="15">
        <v>12099</v>
      </c>
      <c r="N101" t="s">
        <v>12</v>
      </c>
      <c r="O101">
        <v>15</v>
      </c>
      <c r="P101">
        <v>16</v>
      </c>
      <c r="Q101" s="17">
        <v>45607</v>
      </c>
      <c r="R101" s="17">
        <v>45622</v>
      </c>
      <c r="S101" s="17">
        <v>45623</v>
      </c>
      <c r="T101" s="17" t="str">
        <f>IF(OR(LEN(TRIM(table2[[#This Row],[تاريخ التسليم]]))=0,LEN(TRIM(table2[[#This Row],[ميعاد التسليم]]))=0),"",IF(table2[[#This Row],[تاريخ التسليم]]&lt;=table2[[#This Row],[ميعاد التسليم]],"تم التسليم في الموعد","متأخر"))</f>
        <v>متأخر</v>
      </c>
      <c r="U101" t="s">
        <v>216</v>
      </c>
      <c r="V101" t="s">
        <v>132</v>
      </c>
    </row>
    <row r="102" spans="1:22" x14ac:dyDescent="0.35">
      <c r="A102" t="s">
        <v>37</v>
      </c>
      <c r="B102" t="s">
        <v>221</v>
      </c>
      <c r="C102" t="s">
        <v>153</v>
      </c>
      <c r="E102" t="s">
        <v>23</v>
      </c>
      <c r="F102" t="s">
        <v>138</v>
      </c>
      <c r="G102" s="13" t="s">
        <v>317</v>
      </c>
      <c r="H102" t="s">
        <v>172</v>
      </c>
      <c r="I102" s="11" t="s">
        <v>324</v>
      </c>
      <c r="J102" t="s">
        <v>139</v>
      </c>
      <c r="K102" t="s">
        <v>173</v>
      </c>
      <c r="L102" t="s">
        <v>291</v>
      </c>
      <c r="M102" s="15">
        <v>15872</v>
      </c>
      <c r="N102" t="s">
        <v>12</v>
      </c>
      <c r="O102">
        <v>25</v>
      </c>
      <c r="P102">
        <v>6</v>
      </c>
      <c r="Q102" s="17">
        <v>45604</v>
      </c>
      <c r="R102" s="17">
        <v>45629</v>
      </c>
      <c r="S102" s="17">
        <v>45610</v>
      </c>
      <c r="T102"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2" t="s">
        <v>216</v>
      </c>
      <c r="V102" t="s">
        <v>132</v>
      </c>
    </row>
    <row r="103" spans="1:22" x14ac:dyDescent="0.35">
      <c r="A103" t="s">
        <v>174</v>
      </c>
      <c r="B103" t="s">
        <v>219</v>
      </c>
      <c r="C103" t="s">
        <v>25</v>
      </c>
      <c r="D103" t="s">
        <v>254</v>
      </c>
      <c r="E103" t="s">
        <v>164</v>
      </c>
      <c r="F103" t="s">
        <v>107</v>
      </c>
      <c r="G103" s="13" t="s">
        <v>319</v>
      </c>
      <c r="H103" t="s">
        <v>123</v>
      </c>
      <c r="I103" s="11" t="s">
        <v>328</v>
      </c>
      <c r="J103" t="s">
        <v>115</v>
      </c>
      <c r="K103" t="s">
        <v>115</v>
      </c>
      <c r="L103" t="s">
        <v>268</v>
      </c>
      <c r="M103" s="15">
        <v>4520</v>
      </c>
      <c r="N103" t="s">
        <v>62</v>
      </c>
      <c r="O103">
        <v>12</v>
      </c>
      <c r="P103">
        <v>11</v>
      </c>
      <c r="Q103" s="17">
        <v>45606</v>
      </c>
      <c r="R103" s="17">
        <v>45618</v>
      </c>
      <c r="S103" s="17">
        <v>45617</v>
      </c>
      <c r="T103"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3" t="s">
        <v>216</v>
      </c>
      <c r="V103" t="s">
        <v>132</v>
      </c>
    </row>
    <row r="104" spans="1:22" x14ac:dyDescent="0.35">
      <c r="A104" t="s">
        <v>60</v>
      </c>
      <c r="B104" t="s">
        <v>221</v>
      </c>
      <c r="C104" t="s">
        <v>133</v>
      </c>
      <c r="E104" t="s">
        <v>253</v>
      </c>
      <c r="F104" t="s">
        <v>107</v>
      </c>
      <c r="G104" s="13" t="s">
        <v>114</v>
      </c>
      <c r="H104" t="s">
        <v>110</v>
      </c>
      <c r="I104" s="11" t="s">
        <v>325</v>
      </c>
      <c r="J104" t="s">
        <v>116</v>
      </c>
      <c r="K104" t="s">
        <v>116</v>
      </c>
      <c r="L104" t="s">
        <v>289</v>
      </c>
      <c r="M104" s="15">
        <v>5766</v>
      </c>
      <c r="N104" t="s">
        <v>62</v>
      </c>
      <c r="O104">
        <v>14</v>
      </c>
      <c r="P104">
        <v>13</v>
      </c>
      <c r="Q104" s="17">
        <v>45608</v>
      </c>
      <c r="R104" s="17">
        <v>45622</v>
      </c>
      <c r="S104" s="17">
        <v>45621</v>
      </c>
      <c r="T104"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4" t="s">
        <v>216</v>
      </c>
      <c r="V104" t="s">
        <v>132</v>
      </c>
    </row>
    <row r="105" spans="1:22" x14ac:dyDescent="0.35">
      <c r="A105" t="s">
        <v>176</v>
      </c>
      <c r="B105" t="s">
        <v>219</v>
      </c>
      <c r="C105" t="s">
        <v>78</v>
      </c>
      <c r="D105" t="s">
        <v>254</v>
      </c>
      <c r="E105" t="s">
        <v>6</v>
      </c>
      <c r="F105" t="s">
        <v>107</v>
      </c>
      <c r="G105" s="13" t="s">
        <v>319</v>
      </c>
      <c r="H105" t="s">
        <v>123</v>
      </c>
      <c r="I105" s="11" t="s">
        <v>336</v>
      </c>
      <c r="J105" t="s">
        <v>120</v>
      </c>
      <c r="K105" t="s">
        <v>120</v>
      </c>
      <c r="L105" t="s">
        <v>292</v>
      </c>
      <c r="M105" s="15">
        <v>11395</v>
      </c>
      <c r="N105" t="s">
        <v>12</v>
      </c>
      <c r="O105">
        <v>12</v>
      </c>
      <c r="P105">
        <v>15</v>
      </c>
      <c r="Q105" s="17">
        <v>45608</v>
      </c>
      <c r="R105" s="17">
        <v>45620</v>
      </c>
      <c r="S105" s="17">
        <v>45623</v>
      </c>
      <c r="T105" s="17" t="str">
        <f>IF(OR(LEN(TRIM(table2[[#This Row],[تاريخ التسليم]]))=0,LEN(TRIM(table2[[#This Row],[ميعاد التسليم]]))=0),"",IF(table2[[#This Row],[تاريخ التسليم]]&lt;=table2[[#This Row],[ميعاد التسليم]],"تم التسليم في الموعد","متأخر"))</f>
        <v>متأخر</v>
      </c>
      <c r="U105" t="s">
        <v>216</v>
      </c>
      <c r="V105" t="s">
        <v>132</v>
      </c>
    </row>
    <row r="106" spans="1:22" x14ac:dyDescent="0.35">
      <c r="A106" t="s">
        <v>177</v>
      </c>
      <c r="B106" t="s">
        <v>219</v>
      </c>
      <c r="C106" t="s">
        <v>25</v>
      </c>
      <c r="D106" t="s">
        <v>254</v>
      </c>
      <c r="E106" t="s">
        <v>6</v>
      </c>
      <c r="F106" t="s">
        <v>107</v>
      </c>
      <c r="G106" s="13" t="s">
        <v>114</v>
      </c>
      <c r="H106" t="s">
        <v>110</v>
      </c>
      <c r="I106" s="11" t="s">
        <v>327</v>
      </c>
      <c r="J106" t="s">
        <v>115</v>
      </c>
      <c r="K106" t="s">
        <v>115</v>
      </c>
      <c r="L106" t="s">
        <v>293</v>
      </c>
      <c r="M106" s="15">
        <v>12919</v>
      </c>
      <c r="N106" t="s">
        <v>12</v>
      </c>
      <c r="O106">
        <v>16</v>
      </c>
      <c r="P106">
        <v>13</v>
      </c>
      <c r="Q106" s="17">
        <v>45610</v>
      </c>
      <c r="R106" s="17">
        <v>45626</v>
      </c>
      <c r="S106" s="17">
        <v>45623</v>
      </c>
      <c r="T106"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6" t="s">
        <v>216</v>
      </c>
      <c r="V106" t="s">
        <v>132</v>
      </c>
    </row>
    <row r="107" spans="1:22" x14ac:dyDescent="0.35">
      <c r="A107" t="s">
        <v>60</v>
      </c>
      <c r="B107" t="s">
        <v>221</v>
      </c>
      <c r="C107" t="s">
        <v>133</v>
      </c>
      <c r="E107" t="s">
        <v>253</v>
      </c>
      <c r="F107" t="s">
        <v>107</v>
      </c>
      <c r="G107" s="13" t="s">
        <v>114</v>
      </c>
      <c r="H107" t="s">
        <v>109</v>
      </c>
      <c r="I107" s="11" t="s">
        <v>328</v>
      </c>
      <c r="J107" t="s">
        <v>119</v>
      </c>
      <c r="K107" t="s">
        <v>119</v>
      </c>
      <c r="L107" t="s">
        <v>294</v>
      </c>
      <c r="M107" s="15">
        <v>6376</v>
      </c>
      <c r="N107" t="s">
        <v>62</v>
      </c>
      <c r="O107">
        <v>13</v>
      </c>
      <c r="P107">
        <v>11</v>
      </c>
      <c r="Q107" s="17">
        <v>45610</v>
      </c>
      <c r="R107" s="17">
        <v>45623</v>
      </c>
      <c r="S107" s="17">
        <v>45621</v>
      </c>
      <c r="T107"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7" t="s">
        <v>216</v>
      </c>
      <c r="V107" t="s">
        <v>132</v>
      </c>
    </row>
    <row r="108" spans="1:22" x14ac:dyDescent="0.35">
      <c r="A108" t="s">
        <v>60</v>
      </c>
      <c r="B108" t="s">
        <v>221</v>
      </c>
      <c r="C108" t="s">
        <v>178</v>
      </c>
      <c r="E108" t="s">
        <v>253</v>
      </c>
      <c r="F108" t="s">
        <v>107</v>
      </c>
      <c r="G108" s="13" t="s">
        <v>114</v>
      </c>
      <c r="H108" t="s">
        <v>109</v>
      </c>
      <c r="I108" s="11" t="s">
        <v>325</v>
      </c>
      <c r="J108" t="s">
        <v>116</v>
      </c>
      <c r="K108" t="s">
        <v>116</v>
      </c>
      <c r="L108" t="s">
        <v>295</v>
      </c>
      <c r="M108" s="15">
        <v>5294</v>
      </c>
      <c r="N108" t="s">
        <v>62</v>
      </c>
      <c r="O108">
        <v>13</v>
      </c>
      <c r="P108">
        <v>11</v>
      </c>
      <c r="Q108" s="17">
        <v>45610</v>
      </c>
      <c r="R108" s="17">
        <v>45623</v>
      </c>
      <c r="S108" s="17">
        <v>45621</v>
      </c>
      <c r="T108"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8" t="s">
        <v>216</v>
      </c>
      <c r="V108" t="s">
        <v>132</v>
      </c>
    </row>
    <row r="109" spans="1:22" x14ac:dyDescent="0.35">
      <c r="A109" t="s">
        <v>249</v>
      </c>
      <c r="B109" t="s">
        <v>219</v>
      </c>
      <c r="C109" t="s">
        <v>27</v>
      </c>
      <c r="D109" t="s">
        <v>259</v>
      </c>
      <c r="E109" t="s">
        <v>180</v>
      </c>
      <c r="F109" t="s">
        <v>107</v>
      </c>
      <c r="G109" s="13" t="s">
        <v>114</v>
      </c>
      <c r="H109" t="s">
        <v>111</v>
      </c>
      <c r="I109" s="11" t="s">
        <v>327</v>
      </c>
      <c r="J109" t="s">
        <v>115</v>
      </c>
      <c r="K109" t="s">
        <v>115</v>
      </c>
      <c r="L109" t="s">
        <v>296</v>
      </c>
      <c r="M109" s="15">
        <v>7396</v>
      </c>
      <c r="N109" t="s">
        <v>12</v>
      </c>
      <c r="O109">
        <v>11</v>
      </c>
      <c r="P109">
        <v>9</v>
      </c>
      <c r="Q109" s="17">
        <v>45613</v>
      </c>
      <c r="R109" s="17">
        <v>45624</v>
      </c>
      <c r="S109" s="17">
        <v>45622</v>
      </c>
      <c r="T109"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09" t="s">
        <v>216</v>
      </c>
      <c r="V109" t="s">
        <v>132</v>
      </c>
    </row>
    <row r="110" spans="1:22" x14ac:dyDescent="0.35">
      <c r="A110" t="s">
        <v>93</v>
      </c>
      <c r="B110" t="s">
        <v>219</v>
      </c>
      <c r="C110" t="s">
        <v>181</v>
      </c>
      <c r="D110" t="s">
        <v>259</v>
      </c>
      <c r="E110" t="s">
        <v>6</v>
      </c>
      <c r="F110" t="s">
        <v>107</v>
      </c>
      <c r="G110" s="13" t="s">
        <v>114</v>
      </c>
      <c r="H110" t="s">
        <v>110</v>
      </c>
      <c r="I110" s="11" t="s">
        <v>325</v>
      </c>
      <c r="J110" t="s">
        <v>116</v>
      </c>
      <c r="K110" t="s">
        <v>116</v>
      </c>
      <c r="L110" t="s">
        <v>289</v>
      </c>
      <c r="M110" s="15">
        <v>13439</v>
      </c>
      <c r="N110" t="s">
        <v>255</v>
      </c>
      <c r="O110">
        <v>15</v>
      </c>
      <c r="P110">
        <v>6</v>
      </c>
      <c r="Q110" s="17">
        <v>45616</v>
      </c>
      <c r="R110" s="17">
        <v>45631</v>
      </c>
      <c r="S110" s="17">
        <v>45622</v>
      </c>
      <c r="T110"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10" t="s">
        <v>216</v>
      </c>
      <c r="V110" t="s">
        <v>132</v>
      </c>
    </row>
    <row r="111" spans="1:22" x14ac:dyDescent="0.35">
      <c r="A111" t="s">
        <v>30</v>
      </c>
      <c r="B111" t="s">
        <v>221</v>
      </c>
      <c r="C111" t="s">
        <v>32</v>
      </c>
      <c r="D111" t="s">
        <v>254</v>
      </c>
      <c r="E111" t="s">
        <v>30</v>
      </c>
      <c r="F111" t="s">
        <v>107</v>
      </c>
      <c r="G111" s="13" t="s">
        <v>319</v>
      </c>
      <c r="H111" t="s">
        <v>337</v>
      </c>
      <c r="I111" s="11" t="s">
        <v>336</v>
      </c>
      <c r="J111" t="s">
        <v>116</v>
      </c>
      <c r="K111" t="s">
        <v>116</v>
      </c>
      <c r="L111" t="s">
        <v>297</v>
      </c>
      <c r="M111" s="15">
        <v>5100</v>
      </c>
      <c r="N111" t="s">
        <v>62</v>
      </c>
      <c r="O111">
        <v>24</v>
      </c>
      <c r="P111">
        <v>0</v>
      </c>
      <c r="Q111" s="17">
        <v>45610</v>
      </c>
      <c r="R111" s="17">
        <v>45634</v>
      </c>
      <c r="T111" s="17" t="s">
        <v>364</v>
      </c>
      <c r="V111" t="s">
        <v>179</v>
      </c>
    </row>
    <row r="112" spans="1:22" x14ac:dyDescent="0.35">
      <c r="A112" t="s">
        <v>182</v>
      </c>
      <c r="B112" t="s">
        <v>219</v>
      </c>
      <c r="C112" t="s">
        <v>34</v>
      </c>
      <c r="D112" t="s">
        <v>254</v>
      </c>
      <c r="E112" t="s">
        <v>183</v>
      </c>
      <c r="F112" t="s">
        <v>107</v>
      </c>
      <c r="G112" s="13" t="s">
        <v>319</v>
      </c>
      <c r="H112" t="s">
        <v>330</v>
      </c>
      <c r="I112" s="11" t="s">
        <v>336</v>
      </c>
      <c r="J112" t="s">
        <v>122</v>
      </c>
      <c r="K112" t="s">
        <v>122</v>
      </c>
      <c r="L112" t="s">
        <v>298</v>
      </c>
      <c r="M112" s="15">
        <v>6000</v>
      </c>
      <c r="N112" t="s">
        <v>255</v>
      </c>
      <c r="O112">
        <v>10</v>
      </c>
      <c r="P112">
        <v>5</v>
      </c>
      <c r="Q112" s="17">
        <v>45618</v>
      </c>
      <c r="R112" s="17">
        <v>45628</v>
      </c>
      <c r="S112" s="17">
        <v>45623</v>
      </c>
      <c r="T112"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12" t="s">
        <v>216</v>
      </c>
      <c r="V112" t="s">
        <v>132</v>
      </c>
    </row>
    <row r="113" spans="1:22" x14ac:dyDescent="0.35">
      <c r="A113" t="s">
        <v>250</v>
      </c>
      <c r="B113" t="s">
        <v>219</v>
      </c>
      <c r="C113" t="s">
        <v>184</v>
      </c>
      <c r="D113" t="s">
        <v>254</v>
      </c>
      <c r="E113" t="s">
        <v>6</v>
      </c>
      <c r="F113" t="s">
        <v>107</v>
      </c>
      <c r="G113" s="13" t="s">
        <v>319</v>
      </c>
      <c r="H113" t="s">
        <v>112</v>
      </c>
      <c r="I113" s="11" t="s">
        <v>328</v>
      </c>
      <c r="J113" t="s">
        <v>119</v>
      </c>
      <c r="K113" t="s">
        <v>119</v>
      </c>
      <c r="L113" t="s">
        <v>299</v>
      </c>
      <c r="M113" s="15">
        <v>10885</v>
      </c>
      <c r="N113" t="s">
        <v>255</v>
      </c>
      <c r="O113">
        <v>11</v>
      </c>
      <c r="P113">
        <v>16</v>
      </c>
      <c r="Q113" s="17">
        <v>45620</v>
      </c>
      <c r="R113" s="17">
        <v>45631</v>
      </c>
      <c r="S113" s="17">
        <v>45636</v>
      </c>
      <c r="T113" s="17" t="str">
        <f>IF(OR(LEN(TRIM(table2[[#This Row],[تاريخ التسليم]]))=0,LEN(TRIM(table2[[#This Row],[ميعاد التسليم]]))=0),"",IF(table2[[#This Row],[تاريخ التسليم]]&lt;=table2[[#This Row],[ميعاد التسليم]],"تم التسليم في الموعد","متأخر"))</f>
        <v>متأخر</v>
      </c>
      <c r="U113" t="s">
        <v>216</v>
      </c>
      <c r="V113" t="s">
        <v>132</v>
      </c>
    </row>
    <row r="114" spans="1:22" x14ac:dyDescent="0.35">
      <c r="A114" t="s">
        <v>30</v>
      </c>
      <c r="B114" t="s">
        <v>221</v>
      </c>
      <c r="C114" t="s">
        <v>32</v>
      </c>
      <c r="D114" t="s">
        <v>254</v>
      </c>
      <c r="E114" t="s">
        <v>30</v>
      </c>
      <c r="F114" t="s">
        <v>138</v>
      </c>
      <c r="G114" s="13" t="s">
        <v>317</v>
      </c>
      <c r="H114" t="s">
        <v>317</v>
      </c>
      <c r="I114" s="11" t="s">
        <v>324</v>
      </c>
      <c r="K114" t="s">
        <v>324</v>
      </c>
      <c r="L114" t="s">
        <v>300</v>
      </c>
      <c r="M114" s="15">
        <v>6000</v>
      </c>
      <c r="N114" t="s">
        <v>255</v>
      </c>
      <c r="O114">
        <v>16</v>
      </c>
      <c r="P114">
        <v>1</v>
      </c>
      <c r="Q114" s="17">
        <v>45615</v>
      </c>
      <c r="R114" s="17">
        <v>45631</v>
      </c>
      <c r="S114" s="17">
        <v>45616</v>
      </c>
      <c r="T114"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14" t="s">
        <v>215</v>
      </c>
      <c r="V114" t="s">
        <v>132</v>
      </c>
    </row>
    <row r="115" spans="1:22" x14ac:dyDescent="0.35">
      <c r="A115" t="s">
        <v>185</v>
      </c>
      <c r="B115" t="s">
        <v>219</v>
      </c>
      <c r="C115" t="s">
        <v>186</v>
      </c>
      <c r="D115" t="s">
        <v>260</v>
      </c>
      <c r="E115" t="s">
        <v>6</v>
      </c>
      <c r="F115" t="s">
        <v>187</v>
      </c>
      <c r="G115" s="13" t="s">
        <v>188</v>
      </c>
      <c r="H115" t="s">
        <v>317</v>
      </c>
      <c r="I115" s="11" t="s">
        <v>324</v>
      </c>
      <c r="K115" t="s">
        <v>324</v>
      </c>
      <c r="L115" t="s">
        <v>301</v>
      </c>
      <c r="M115" s="15">
        <v>8449</v>
      </c>
      <c r="N115" t="s">
        <v>12</v>
      </c>
      <c r="O115">
        <v>13</v>
      </c>
      <c r="P115">
        <v>26</v>
      </c>
      <c r="Q115" s="17">
        <v>45623</v>
      </c>
      <c r="R115" s="17">
        <v>45636</v>
      </c>
      <c r="S115" s="17">
        <v>45649</v>
      </c>
      <c r="T115" s="17" t="str">
        <f>IF(OR(LEN(TRIM(table2[[#This Row],[تاريخ التسليم]]))=0,LEN(TRIM(table2[[#This Row],[ميعاد التسليم]]))=0),"",IF(table2[[#This Row],[تاريخ التسليم]]&lt;=table2[[#This Row],[ميعاد التسليم]],"تم التسليم في الموعد","متأخر"))</f>
        <v>متأخر</v>
      </c>
      <c r="U115" t="s">
        <v>214</v>
      </c>
      <c r="V115" t="s">
        <v>132</v>
      </c>
    </row>
    <row r="116" spans="1:22" x14ac:dyDescent="0.35">
      <c r="A116" t="s">
        <v>189</v>
      </c>
      <c r="B116" t="s">
        <v>219</v>
      </c>
      <c r="C116" t="s">
        <v>42</v>
      </c>
      <c r="D116" t="s">
        <v>254</v>
      </c>
      <c r="E116" t="s">
        <v>6</v>
      </c>
      <c r="F116" t="s">
        <v>187</v>
      </c>
      <c r="G116" s="13" t="s">
        <v>190</v>
      </c>
      <c r="H116" t="s">
        <v>190</v>
      </c>
      <c r="I116" s="11" t="s">
        <v>324</v>
      </c>
      <c r="J116" t="s">
        <v>115</v>
      </c>
      <c r="K116" t="s">
        <v>333</v>
      </c>
      <c r="L116" t="s">
        <v>302</v>
      </c>
      <c r="M116" s="15">
        <v>10249</v>
      </c>
      <c r="N116" t="s">
        <v>255</v>
      </c>
      <c r="O116">
        <v>13</v>
      </c>
      <c r="P116">
        <v>22</v>
      </c>
      <c r="Q116" s="17">
        <v>45623</v>
      </c>
      <c r="R116" s="17">
        <v>45636</v>
      </c>
      <c r="S116" s="17">
        <v>45645</v>
      </c>
      <c r="T116" s="17" t="str">
        <f>IF(OR(LEN(TRIM(table2[[#This Row],[تاريخ التسليم]]))=0,LEN(TRIM(table2[[#This Row],[ميعاد التسليم]]))=0),"",IF(table2[[#This Row],[تاريخ التسليم]]&lt;=table2[[#This Row],[ميعاد التسليم]],"تم التسليم في الموعد","متأخر"))</f>
        <v>متأخر</v>
      </c>
      <c r="U116" t="s">
        <v>216</v>
      </c>
      <c r="V116" t="s">
        <v>132</v>
      </c>
    </row>
    <row r="117" spans="1:22" x14ac:dyDescent="0.35">
      <c r="A117" t="s">
        <v>191</v>
      </c>
      <c r="B117" t="s">
        <v>219</v>
      </c>
      <c r="C117" t="s">
        <v>192</v>
      </c>
      <c r="D117" t="s">
        <v>260</v>
      </c>
      <c r="E117" t="s">
        <v>6</v>
      </c>
      <c r="F117" t="s">
        <v>107</v>
      </c>
      <c r="G117" s="13" t="s">
        <v>114</v>
      </c>
      <c r="H117" t="s">
        <v>111</v>
      </c>
      <c r="I117" s="11" t="s">
        <v>329</v>
      </c>
      <c r="J117" t="s">
        <v>116</v>
      </c>
      <c r="K117" t="s">
        <v>116</v>
      </c>
      <c r="L117" t="s">
        <v>271</v>
      </c>
      <c r="M117" s="15">
        <v>14905</v>
      </c>
      <c r="N117" t="s">
        <v>12</v>
      </c>
      <c r="O117">
        <v>16</v>
      </c>
      <c r="P117">
        <v>0</v>
      </c>
      <c r="Q117" s="17">
        <v>45625</v>
      </c>
      <c r="R117" s="17">
        <v>45641</v>
      </c>
      <c r="T117" s="17" t="s">
        <v>364</v>
      </c>
      <c r="V117" t="s">
        <v>179</v>
      </c>
    </row>
    <row r="118" spans="1:22" x14ac:dyDescent="0.35">
      <c r="A118" t="s">
        <v>193</v>
      </c>
      <c r="B118" t="s">
        <v>219</v>
      </c>
      <c r="C118" t="s">
        <v>48</v>
      </c>
      <c r="D118" t="s">
        <v>254</v>
      </c>
      <c r="E118" t="s">
        <v>6</v>
      </c>
      <c r="F118" t="s">
        <v>187</v>
      </c>
      <c r="G118" s="13" t="s">
        <v>190</v>
      </c>
      <c r="H118" t="s">
        <v>190</v>
      </c>
      <c r="I118" s="11" t="s">
        <v>324</v>
      </c>
      <c r="J118" t="s">
        <v>139</v>
      </c>
      <c r="K118" t="s">
        <v>333</v>
      </c>
      <c r="L118" t="s">
        <v>303</v>
      </c>
      <c r="M118" s="15">
        <v>10249</v>
      </c>
      <c r="N118" t="s">
        <v>12</v>
      </c>
      <c r="O118">
        <v>12</v>
      </c>
      <c r="P118">
        <v>0</v>
      </c>
      <c r="Q118" s="17">
        <v>45626</v>
      </c>
      <c r="R118" s="17">
        <v>45638</v>
      </c>
      <c r="T118" s="17" t="s">
        <v>364</v>
      </c>
      <c r="V118" t="s">
        <v>179</v>
      </c>
    </row>
    <row r="119" spans="1:22" x14ac:dyDescent="0.35">
      <c r="A119" t="s">
        <v>193</v>
      </c>
      <c r="B119" t="s">
        <v>219</v>
      </c>
      <c r="C119" t="s">
        <v>48</v>
      </c>
      <c r="D119" t="s">
        <v>254</v>
      </c>
      <c r="E119" t="s">
        <v>6</v>
      </c>
      <c r="F119" t="s">
        <v>187</v>
      </c>
      <c r="G119" s="13" t="s">
        <v>129</v>
      </c>
      <c r="H119" t="s">
        <v>317</v>
      </c>
      <c r="I119" s="11" t="s">
        <v>324</v>
      </c>
      <c r="J119" t="s">
        <v>116</v>
      </c>
      <c r="K119" t="s">
        <v>333</v>
      </c>
      <c r="L119" t="s">
        <v>304</v>
      </c>
      <c r="M119" s="15">
        <v>9029</v>
      </c>
      <c r="N119" t="s">
        <v>12</v>
      </c>
      <c r="O119">
        <v>12</v>
      </c>
      <c r="P119">
        <v>0</v>
      </c>
      <c r="Q119" s="17">
        <v>45626</v>
      </c>
      <c r="R119" s="17">
        <v>45638</v>
      </c>
      <c r="T119" s="17" t="s">
        <v>364</v>
      </c>
      <c r="V119" t="s">
        <v>179</v>
      </c>
    </row>
    <row r="120" spans="1:22" x14ac:dyDescent="0.35">
      <c r="A120" t="s">
        <v>194</v>
      </c>
      <c r="B120" t="s">
        <v>219</v>
      </c>
      <c r="C120" t="s">
        <v>102</v>
      </c>
      <c r="E120" t="s">
        <v>6</v>
      </c>
      <c r="F120" t="s">
        <v>187</v>
      </c>
      <c r="G120" s="13" t="s">
        <v>190</v>
      </c>
      <c r="H120" t="s">
        <v>190</v>
      </c>
      <c r="I120" s="11" t="s">
        <v>324</v>
      </c>
      <c r="J120" t="s">
        <v>139</v>
      </c>
      <c r="K120" t="s">
        <v>148</v>
      </c>
      <c r="L120" t="s">
        <v>305</v>
      </c>
      <c r="M120" s="15">
        <v>9029</v>
      </c>
      <c r="N120" t="s">
        <v>12</v>
      </c>
      <c r="O120">
        <v>12</v>
      </c>
      <c r="P120">
        <v>0</v>
      </c>
      <c r="Q120" s="17">
        <v>45626</v>
      </c>
      <c r="R120" s="17">
        <v>45638</v>
      </c>
      <c r="T120" s="17" t="s">
        <v>364</v>
      </c>
      <c r="V120" t="s">
        <v>179</v>
      </c>
    </row>
    <row r="121" spans="1:22" x14ac:dyDescent="0.35">
      <c r="A121" t="s">
        <v>195</v>
      </c>
      <c r="B121" t="s">
        <v>219</v>
      </c>
      <c r="C121" t="s">
        <v>196</v>
      </c>
      <c r="E121" t="s">
        <v>6</v>
      </c>
      <c r="F121" t="s">
        <v>107</v>
      </c>
      <c r="G121" s="13" t="s">
        <v>114</v>
      </c>
      <c r="H121" t="s">
        <v>109</v>
      </c>
      <c r="I121" s="11" t="s">
        <v>327</v>
      </c>
      <c r="J121" t="s">
        <v>115</v>
      </c>
      <c r="K121" t="s">
        <v>115</v>
      </c>
      <c r="L121" t="s">
        <v>306</v>
      </c>
      <c r="M121" s="15">
        <v>12099</v>
      </c>
      <c r="N121" t="s">
        <v>12</v>
      </c>
      <c r="O121">
        <v>15</v>
      </c>
      <c r="P121">
        <v>0</v>
      </c>
      <c r="Q121" s="17">
        <v>45628</v>
      </c>
      <c r="R121" s="17">
        <v>45643</v>
      </c>
      <c r="T121" s="17" t="s">
        <v>364</v>
      </c>
      <c r="V121" t="s">
        <v>179</v>
      </c>
    </row>
    <row r="122" spans="1:22" x14ac:dyDescent="0.35">
      <c r="A122" t="s">
        <v>60</v>
      </c>
      <c r="B122" t="s">
        <v>221</v>
      </c>
      <c r="C122" t="s">
        <v>133</v>
      </c>
      <c r="E122" t="s">
        <v>253</v>
      </c>
      <c r="F122" t="s">
        <v>107</v>
      </c>
      <c r="G122" s="13" t="s">
        <v>114</v>
      </c>
      <c r="H122" t="s">
        <v>111</v>
      </c>
      <c r="I122" s="11" t="s">
        <v>325</v>
      </c>
      <c r="J122" t="s">
        <v>118</v>
      </c>
      <c r="K122" t="s">
        <v>118</v>
      </c>
      <c r="L122" t="s">
        <v>307</v>
      </c>
      <c r="M122" s="15">
        <v>5217</v>
      </c>
      <c r="N122" t="s">
        <v>62</v>
      </c>
      <c r="O122">
        <v>13</v>
      </c>
      <c r="P122">
        <v>9</v>
      </c>
      <c r="Q122" s="17">
        <v>45627</v>
      </c>
      <c r="R122" s="17">
        <v>45640</v>
      </c>
      <c r="S122" s="17">
        <v>45636</v>
      </c>
      <c r="T122"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22" t="s">
        <v>216</v>
      </c>
      <c r="V122" t="s">
        <v>132</v>
      </c>
    </row>
    <row r="123" spans="1:22" x14ac:dyDescent="0.35">
      <c r="A123" t="s">
        <v>251</v>
      </c>
      <c r="B123" t="s">
        <v>219</v>
      </c>
      <c r="C123" t="s">
        <v>96</v>
      </c>
      <c r="D123" t="s">
        <v>254</v>
      </c>
      <c r="E123" t="s">
        <v>6</v>
      </c>
      <c r="F123" t="s">
        <v>107</v>
      </c>
      <c r="G123" s="13" t="s">
        <v>108</v>
      </c>
      <c r="H123" t="s">
        <v>108</v>
      </c>
      <c r="I123" s="11" t="s">
        <v>324</v>
      </c>
      <c r="J123" t="s">
        <v>116</v>
      </c>
      <c r="K123" t="s">
        <v>116</v>
      </c>
      <c r="L123" t="s">
        <v>308</v>
      </c>
      <c r="M123" s="15">
        <v>10249</v>
      </c>
      <c r="N123" t="s">
        <v>255</v>
      </c>
      <c r="O123">
        <v>10</v>
      </c>
      <c r="P123">
        <v>15</v>
      </c>
      <c r="Q123" s="17">
        <v>45630</v>
      </c>
      <c r="R123" s="17">
        <v>45640</v>
      </c>
      <c r="S123" s="17">
        <v>45645</v>
      </c>
      <c r="T123" s="17" t="str">
        <f>IF(OR(LEN(TRIM(table2[[#This Row],[تاريخ التسليم]]))=0,LEN(TRIM(table2[[#This Row],[ميعاد التسليم]]))=0),"",IF(table2[[#This Row],[تاريخ التسليم]]&lt;=table2[[#This Row],[ميعاد التسليم]],"تم التسليم في الموعد","متأخر"))</f>
        <v>متأخر</v>
      </c>
      <c r="U123" t="s">
        <v>216</v>
      </c>
      <c r="V123" t="s">
        <v>132</v>
      </c>
    </row>
    <row r="124" spans="1:22" x14ac:dyDescent="0.35">
      <c r="A124" t="s">
        <v>197</v>
      </c>
      <c r="B124" t="s">
        <v>219</v>
      </c>
      <c r="C124" t="s">
        <v>198</v>
      </c>
      <c r="D124" t="s">
        <v>254</v>
      </c>
      <c r="E124" t="s">
        <v>23</v>
      </c>
      <c r="F124" t="s">
        <v>107</v>
      </c>
      <c r="G124" s="13" t="s">
        <v>114</v>
      </c>
      <c r="H124" t="s">
        <v>110</v>
      </c>
      <c r="I124" s="11" t="s">
        <v>324</v>
      </c>
      <c r="J124" t="s">
        <v>116</v>
      </c>
      <c r="K124" t="s">
        <v>116</v>
      </c>
      <c r="L124" t="s">
        <v>309</v>
      </c>
      <c r="M124" s="15">
        <v>10445</v>
      </c>
      <c r="N124" t="s">
        <v>255</v>
      </c>
      <c r="O124">
        <v>22</v>
      </c>
      <c r="P124">
        <v>3</v>
      </c>
      <c r="Q124" s="17">
        <v>45635</v>
      </c>
      <c r="R124" s="17">
        <v>45657</v>
      </c>
      <c r="S124" s="17">
        <v>45638</v>
      </c>
      <c r="T124"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24" t="s">
        <v>216</v>
      </c>
      <c r="V124" t="s">
        <v>132</v>
      </c>
    </row>
    <row r="125" spans="1:22" x14ac:dyDescent="0.35">
      <c r="A125" t="s">
        <v>252</v>
      </c>
      <c r="B125" t="s">
        <v>219</v>
      </c>
      <c r="C125" t="s">
        <v>48</v>
      </c>
      <c r="D125" t="s">
        <v>254</v>
      </c>
      <c r="E125" t="s">
        <v>6</v>
      </c>
      <c r="F125" t="s">
        <v>187</v>
      </c>
      <c r="G125" s="13" t="s">
        <v>190</v>
      </c>
      <c r="H125" t="s">
        <v>190</v>
      </c>
      <c r="I125" s="11" t="s">
        <v>324</v>
      </c>
      <c r="J125" t="s">
        <v>139</v>
      </c>
      <c r="K125" t="s">
        <v>333</v>
      </c>
      <c r="L125" t="s">
        <v>310</v>
      </c>
      <c r="M125" s="15">
        <v>11199</v>
      </c>
      <c r="N125" t="s">
        <v>255</v>
      </c>
      <c r="O125">
        <v>12</v>
      </c>
      <c r="P125">
        <v>7</v>
      </c>
      <c r="Q125" s="17">
        <v>45638</v>
      </c>
      <c r="R125" s="17">
        <v>45650</v>
      </c>
      <c r="S125" s="17">
        <v>45645</v>
      </c>
      <c r="T125"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25" t="s">
        <v>216</v>
      </c>
      <c r="V125" t="s">
        <v>132</v>
      </c>
    </row>
    <row r="126" spans="1:22" x14ac:dyDescent="0.35">
      <c r="A126" t="s">
        <v>199</v>
      </c>
      <c r="B126" t="s">
        <v>219</v>
      </c>
      <c r="C126" t="s">
        <v>181</v>
      </c>
      <c r="E126" t="s">
        <v>6</v>
      </c>
      <c r="F126" t="s">
        <v>107</v>
      </c>
      <c r="G126" s="13" t="s">
        <v>114</v>
      </c>
      <c r="H126" t="s">
        <v>109</v>
      </c>
      <c r="I126" s="11" t="s">
        <v>327</v>
      </c>
      <c r="J126" t="s">
        <v>116</v>
      </c>
      <c r="K126" t="s">
        <v>116</v>
      </c>
      <c r="L126" t="s">
        <v>311</v>
      </c>
      <c r="M126" s="15">
        <v>13099</v>
      </c>
      <c r="N126" t="s">
        <v>255</v>
      </c>
      <c r="O126">
        <v>16</v>
      </c>
      <c r="P126">
        <v>17</v>
      </c>
      <c r="Q126" s="17">
        <v>45638</v>
      </c>
      <c r="R126" s="17">
        <v>45654</v>
      </c>
      <c r="S126" s="17">
        <v>45655</v>
      </c>
      <c r="T126" s="17" t="str">
        <f>IF(OR(LEN(TRIM(table2[[#This Row],[تاريخ التسليم]]))=0,LEN(TRIM(table2[[#This Row],[ميعاد التسليم]]))=0),"",IF(table2[[#This Row],[تاريخ التسليم]]&lt;=table2[[#This Row],[ميعاد التسليم]],"تم التسليم في الموعد","متأخر"))</f>
        <v>متأخر</v>
      </c>
      <c r="U126" t="s">
        <v>216</v>
      </c>
      <c r="V126" t="s">
        <v>132</v>
      </c>
    </row>
    <row r="127" spans="1:22" x14ac:dyDescent="0.35">
      <c r="A127" t="s">
        <v>37</v>
      </c>
      <c r="B127" t="s">
        <v>221</v>
      </c>
      <c r="C127" t="s">
        <v>153</v>
      </c>
      <c r="E127" t="s">
        <v>23</v>
      </c>
      <c r="F127" t="s">
        <v>138</v>
      </c>
      <c r="G127" s="13" t="s">
        <v>317</v>
      </c>
      <c r="H127" t="s">
        <v>172</v>
      </c>
      <c r="I127" s="11" t="s">
        <v>324</v>
      </c>
      <c r="J127" t="s">
        <v>139</v>
      </c>
      <c r="K127" t="s">
        <v>116</v>
      </c>
      <c r="L127" t="s">
        <v>312</v>
      </c>
      <c r="M127" s="15">
        <v>8700</v>
      </c>
      <c r="N127" t="s">
        <v>62</v>
      </c>
      <c r="O127">
        <v>22</v>
      </c>
      <c r="P127">
        <v>15</v>
      </c>
      <c r="Q127" s="17">
        <v>45640</v>
      </c>
      <c r="R127" s="17">
        <v>45662</v>
      </c>
      <c r="S127" s="17">
        <v>45655</v>
      </c>
      <c r="T127" s="17" t="str">
        <f>IF(OR(LEN(TRIM(table2[[#This Row],[تاريخ التسليم]]))=0,LEN(TRIM(table2[[#This Row],[ميعاد التسليم]]))=0),"",IF(table2[[#This Row],[تاريخ التسليم]]&lt;=table2[[#This Row],[ميعاد التسليم]],"تم التسليم في الموعد","متأخر"))</f>
        <v>تم التسليم في الموعد</v>
      </c>
      <c r="U127" t="s">
        <v>216</v>
      </c>
      <c r="V127" t="s">
        <v>132</v>
      </c>
    </row>
    <row r="128" spans="1:22" x14ac:dyDescent="0.35">
      <c r="T128" s="17" t="s">
        <v>364</v>
      </c>
    </row>
    <row r="129" spans="20:20" x14ac:dyDescent="0.35">
      <c r="T129" s="11">
        <f>COUNTBLANK(table2[[#All],[حالة التسليم]])</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44ff2e7-683a-4027-b218-d39230110f27"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29050B0D27572458C286609E7ACFEF9" ma:contentTypeVersion="10" ma:contentTypeDescription="Create a new document." ma:contentTypeScope="" ma:versionID="5e5e247e4157228f94bbea919fa29b35">
  <xsd:schema xmlns:xsd="http://www.w3.org/2001/XMLSchema" xmlns:xs="http://www.w3.org/2001/XMLSchema" xmlns:p="http://schemas.microsoft.com/office/2006/metadata/properties" xmlns:ns3="144ff2e7-683a-4027-b218-d39230110f27" targetNamespace="http://schemas.microsoft.com/office/2006/metadata/properties" ma:root="true" ma:fieldsID="c2c0bcb3732a435dfe29497b019e2b42" ns3:_="">
    <xsd:import namespace="144ff2e7-683a-4027-b218-d39230110f2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4ff2e7-683a-4027-b218-d39230110f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_activity" ma:index="16" nillable="true" ma:displayName="_activity" ma:hidden="true" ma:internalName="_activity">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30AE95-F91E-478B-9E95-D8BA5BE7243F}">
  <ds:schemaRefs>
    <ds:schemaRef ds:uri="http://schemas.microsoft.com/DataMashup"/>
  </ds:schemaRefs>
</ds:datastoreItem>
</file>

<file path=customXml/itemProps2.xml><?xml version="1.0" encoding="utf-8"?>
<ds:datastoreItem xmlns:ds="http://schemas.openxmlformats.org/officeDocument/2006/customXml" ds:itemID="{565A9B6A-4D4D-406E-9EBD-865823EF18DB}">
  <ds:schemaRefs>
    <ds:schemaRef ds:uri="http://schemas.microsoft.com/sharepoint/v3/contenttype/forms"/>
  </ds:schemaRefs>
</ds:datastoreItem>
</file>

<file path=customXml/itemProps3.xml><?xml version="1.0" encoding="utf-8"?>
<ds:datastoreItem xmlns:ds="http://schemas.openxmlformats.org/officeDocument/2006/customXml" ds:itemID="{D99CEAA2-3C32-467F-A32B-1B41415E78B0}">
  <ds:schemaRefs>
    <ds:schemaRef ds:uri="http://schemas.microsoft.com/office/2006/documentManagement/type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144ff2e7-683a-4027-b218-d39230110f27"/>
    <ds:schemaRef ds:uri="http://purl.org/dc/dcmitype/"/>
    <ds:schemaRef ds:uri="http://purl.org/dc/terms/"/>
  </ds:schemaRefs>
</ds:datastoreItem>
</file>

<file path=customXml/itemProps4.xml><?xml version="1.0" encoding="utf-8"?>
<ds:datastoreItem xmlns:ds="http://schemas.openxmlformats.org/officeDocument/2006/customXml" ds:itemID="{6BB7300A-0236-454D-BA5F-718E771BCC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4ff2e7-683a-4027-b218-d39230110f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الارشادات</vt:lpstr>
      <vt:lpstr>pivot tables</vt:lpstr>
      <vt:lpstr>sales dashboard</vt:lpstr>
      <vt:lpstr>Table1__2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AHMED MIMI</cp:lastModifiedBy>
  <dcterms:created xsi:type="dcterms:W3CDTF">2015-06-05T18:17:20Z</dcterms:created>
  <dcterms:modified xsi:type="dcterms:W3CDTF">2026-06-22T15:59:28Z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0x010100629050B0D27572458C286609E7ACFEF9</vt:lpwstr>
  </property>
</Properties>
</file>